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nchmark DATA" sheetId="1" r:id="rId4"/>
    <sheet state="visible" name="AES Study" sheetId="2" r:id="rId5"/>
  </sheets>
  <definedNames/>
  <calcPr/>
</workbook>
</file>

<file path=xl/sharedStrings.xml><?xml version="1.0" encoding="utf-8"?>
<sst xmlns="http://schemas.openxmlformats.org/spreadsheetml/2006/main" count="1247" uniqueCount="123">
  <si>
    <t>-O3</t>
  </si>
  <si>
    <t>10 Blocs - 512 AD - MULTI_ROR64 - ASCON</t>
  </si>
  <si>
    <t>40 Blocs - 512 AD - MULTI_ROR64 - ASCON</t>
  </si>
  <si>
    <t>80 Blocs - 512 AD - MULTI_ROR64 - ASCON</t>
  </si>
  <si>
    <t>100 Blocs - 512 AD - MULTI_ROR64 - ASCON</t>
  </si>
  <si>
    <t>10 Blocs - 512 AD - ROR64 - ASCON</t>
  </si>
  <si>
    <t>40 Blocs - 512 AD - ROR64 - ASCON</t>
  </si>
  <si>
    <t>80 Blocs - 512 AD - ROR64 - ASCON</t>
  </si>
  <si>
    <t>100 Blocs - 512 AD - ROR64 - ASCON</t>
  </si>
  <si>
    <t>500 Blocs - 512 AD - ROR64 - ASCON</t>
  </si>
  <si>
    <t>Instructions</t>
  </si>
  <si>
    <t>Cycles Moyens</t>
  </si>
  <si>
    <t>Min cycles</t>
  </si>
  <si>
    <t>Max cycles</t>
  </si>
  <si>
    <t>Instructions/bit</t>
  </si>
  <si>
    <t>Cycles/bit</t>
  </si>
  <si>
    <t>ASCON-128-Encrypt</t>
  </si>
  <si>
    <t>ASCON</t>
  </si>
  <si>
    <t>ASCON-128-Decrypt</t>
  </si>
  <si>
    <t>ASCON-128a-Encrypt</t>
  </si>
  <si>
    <t>ASCON-128a-Decrypt</t>
  </si>
  <si>
    <t>1 Bloc</t>
  </si>
  <si>
    <t>10 Blocs - 512 AD</t>
  </si>
  <si>
    <t>40 Blocs</t>
  </si>
  <si>
    <t>80 Blocs</t>
  </si>
  <si>
    <t>100 Blocs - 1000 itérations</t>
  </si>
  <si>
    <t xml:space="preserve">10 Blocs - 512 AD </t>
  </si>
  <si>
    <t xml:space="preserve">40 Blocs - 512 AD </t>
  </si>
  <si>
    <t xml:space="preserve">80 Blocs - 512 AD </t>
  </si>
  <si>
    <t xml:space="preserve">100 Blocs - 512 AD </t>
  </si>
  <si>
    <t>Famille</t>
  </si>
  <si>
    <t>Taille de Bloc</t>
  </si>
  <si>
    <t>Taille de clé</t>
  </si>
  <si>
    <t>Authentifié</t>
  </si>
  <si>
    <t>Delta</t>
  </si>
  <si>
    <t>ChaCha20</t>
  </si>
  <si>
    <t>ChaCha</t>
  </si>
  <si>
    <t>non</t>
  </si>
  <si>
    <t>ChaCha20-Poly1305</t>
  </si>
  <si>
    <t>oui</t>
  </si>
  <si>
    <t xml:space="preserve">AES-128-Encryption </t>
  </si>
  <si>
    <t>AES-ECB</t>
  </si>
  <si>
    <t xml:space="preserve">AES-192-Encryption </t>
  </si>
  <si>
    <t xml:space="preserve">AES-256-Encryption </t>
  </si>
  <si>
    <t xml:space="preserve">AES-128-Decryption </t>
  </si>
  <si>
    <t xml:space="preserve">AES-192-Decryption </t>
  </si>
  <si>
    <t xml:space="preserve">AES-256-Decryption </t>
  </si>
  <si>
    <t>AES-CBC-128-Encryption</t>
  </si>
  <si>
    <t>AES-CBC</t>
  </si>
  <si>
    <t>AES-CBC-192-Encryption</t>
  </si>
  <si>
    <t>AES-CBC-256-Encryption</t>
  </si>
  <si>
    <t>AES-CBC-128-Decryption</t>
  </si>
  <si>
    <t>,</t>
  </si>
  <si>
    <t>AES-CBC-192-Decryption</t>
  </si>
  <si>
    <t>AES-CBC-256-Decryption</t>
  </si>
  <si>
    <t>AES-CTR-128</t>
  </si>
  <si>
    <t>AES-CTR</t>
  </si>
  <si>
    <t>AES-CTR-192</t>
  </si>
  <si>
    <t>-O2</t>
  </si>
  <si>
    <t>AES-CTR-256</t>
  </si>
  <si>
    <t>AES-GCM-128</t>
  </si>
  <si>
    <t>AES-GCM</t>
  </si>
  <si>
    <t>AES-GCM-192</t>
  </si>
  <si>
    <t>AES-GCM-256</t>
  </si>
  <si>
    <t>ASCON-128a- Encrypt</t>
  </si>
  <si>
    <t>10 Blocs - 1024 AD</t>
  </si>
  <si>
    <t>100 Blocs - 500 itérations</t>
  </si>
  <si>
    <t>-O1</t>
  </si>
  <si>
    <t>10 Blocs - 2048 AD</t>
  </si>
  <si>
    <t>100 Blocs - 100 itérations</t>
  </si>
  <si>
    <t>10 Blocs - 512 AD - ROR64 + OP_ASCON - ASCON</t>
  </si>
  <si>
    <t>40 Blocs - 512 AD - ROR64 + OP_ASCON  - ASCON</t>
  </si>
  <si>
    <t>80 Blocs - 512 AD - ROR64 + OP_ASCON - ASCON</t>
  </si>
  <si>
    <t>100 Blocs - 512 AD - ROR64 + OP_ASCON - ASCON</t>
  </si>
  <si>
    <t>Reg. Block (a)</t>
  </si>
  <si>
    <t>Reg. AD (b)</t>
  </si>
  <si>
    <t>b/a</t>
  </si>
  <si>
    <t>10 Blocs - 5120 AD</t>
  </si>
  <si>
    <t>100 Blocs - 50 itérations</t>
  </si>
  <si>
    <r>
      <rPr>
        <rFont val="Arial"/>
        <color theme="1"/>
      </rPr>
      <t xml:space="preserve">100 Blocs - 512 AD - </t>
    </r>
    <r>
      <rPr>
        <rFont val="Arial"/>
        <b/>
        <color theme="1"/>
      </rPr>
      <t>Cycles</t>
    </r>
  </si>
  <si>
    <t>Gain ROR64</t>
  </si>
  <si>
    <t>Gain Total</t>
  </si>
  <si>
    <t>10 Blocs - 512 AD - OP_CHACHA</t>
  </si>
  <si>
    <t>40 Blocs - 512 AD - OP_CHACHA</t>
  </si>
  <si>
    <t>100 Blocs - 512 AD - OP_CHACHA</t>
  </si>
  <si>
    <t>CHACHA</t>
  </si>
  <si>
    <t>100 Blocs - 512 AD</t>
  </si>
  <si>
    <t>Cycles</t>
  </si>
  <si>
    <t>\begin{table}[h!]
\centering
\begin{tabular}{@{}llllllllll@{}}
\toprule
\multirow{2}{*}{Cipher} &amp; \multicolumn{3}{c}{-O1}  &amp;  \multicolumn{3}{c}{-O2} &amp;  \multicolumn{3}{c}{-O3} \\ \cmidrule(l){2-4} \cmidrule(l){5-7} \cmidrule(l){8-10}
                        &amp; ROR64 &amp; MROR64 &amp; OP\_ASCON &amp; ROR64 &amp; MROR64 &amp; OP\_ASCON &amp; ROR64 &amp; MROR64 &amp; OP\_ASCON \\ \cmidrule(r){1-10}
ASCON\_128 - Encrypt    &amp; 16.00\%  &amp; 19.96\% &amp;  &amp; 20.47\% &amp;  33.03\% &amp; &amp; \textbf{4.10\%}  &amp; 38.35\% &amp; \\
ASCON\_128 - Decrypt    &amp; 16.00\%  &amp; 19.96\% &amp;  &amp; 20.45\% &amp;  33.05\% &amp; &amp; \textbf{3.80\%}  &amp; 38.25\% &amp; \\
ASCON\_128a - Encrypt   &amp; 16.48\%  &amp; 19.91\% &amp;  &amp; 20.49\% &amp;  34.75\% &amp; &amp; \textbf{-4.08\%} &amp; 19.44\% &amp; \\
ASCON\_128a - Decrypt   &amp; 16.49\%  &amp; 19.91\% &amp;  &amp; 20.30\% &amp;  34.75\% &amp; &amp; 28.88\% &amp; 21.88\% &amp; \\ \bottomrule
\end{tabular}
\end{table}</t>
  </si>
  <si>
    <t xml:space="preserve">AES Encrypt Block without </t>
  </si>
  <si>
    <t>KeyExpansion</t>
  </si>
  <si>
    <t>AES Encrypt Block *</t>
  </si>
  <si>
    <t>128 bits</t>
  </si>
  <si>
    <t>192 bits</t>
  </si>
  <si>
    <t>256 bits</t>
  </si>
  <si>
    <t>All</t>
  </si>
  <si>
    <t>Loop</t>
  </si>
  <si>
    <t>and</t>
  </si>
  <si>
    <t xml:space="preserve">add </t>
  </si>
  <si>
    <t>xor</t>
  </si>
  <si>
    <t>or</t>
  </si>
  <si>
    <t>sll</t>
  </si>
  <si>
    <t>remu</t>
  </si>
  <si>
    <t>srl</t>
  </si>
  <si>
    <t>sub</t>
  </si>
  <si>
    <t>lbu</t>
  </si>
  <si>
    <t>lw</t>
  </si>
  <si>
    <t>li</t>
  </si>
  <si>
    <t>sb</t>
  </si>
  <si>
    <t>sw</t>
  </si>
  <si>
    <t>mv</t>
  </si>
  <si>
    <t>bne</t>
  </si>
  <si>
    <t>bnez</t>
  </si>
  <si>
    <t>beq</t>
  </si>
  <si>
    <t>beqz</t>
  </si>
  <si>
    <t>bgeu</t>
  </si>
  <si>
    <t>bltu</t>
  </si>
  <si>
    <t>j</t>
  </si>
  <si>
    <t>jal</t>
  </si>
  <si>
    <t>nop</t>
  </si>
  <si>
    <t>ret</t>
  </si>
  <si>
    <t>zext.b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</si>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</sst>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24.0"/>
      <color theme="1"/>
      <name val="Arial"/>
      <scheme val="minor"/>
    </font>
    <font/>
    <font>
      <b/>
      <color rgb="FFE06666"/>
      <name val="Arial"/>
      <scheme val="minor"/>
    </font>
    <font>
      <b/>
      <color rgb="FF93C47D"/>
      <name val="Arial"/>
      <scheme val="minor"/>
    </font>
    <font>
      <b/>
      <color rgb="FFF6B26B"/>
      <name val="Arial"/>
      <scheme val="minor"/>
    </font>
    <font>
      <b/>
      <color rgb="FFB6D7A8"/>
      <name val="Arial"/>
      <scheme val="minor"/>
    </font>
    <font>
      <color theme="1"/>
      <name val="Arial"/>
    </font>
    <font>
      <b/>
      <sz val="24.0"/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9CB9C"/>
        <bgColor rgb="FFF9CB9C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0" xfId="0" applyFont="1" applyNumberFormat="1"/>
    <xf borderId="1" fillId="2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1" fillId="3" fontId="3" numFmtId="0" xfId="0" applyAlignment="1" applyBorder="1" applyFill="1" applyFont="1">
      <alignment horizontal="center" readingOrder="0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7" fillId="4" fontId="2" numFmtId="0" xfId="0" applyAlignment="1" applyBorder="1" applyFill="1" applyFont="1">
      <alignment horizontal="center" readingOrder="0"/>
    </xf>
    <xf borderId="8" fillId="0" fontId="4" numFmtId="0" xfId="0" applyBorder="1" applyFont="1"/>
    <xf borderId="9" fillId="0" fontId="4" numFmtId="0" xfId="0" applyBorder="1" applyFont="1"/>
    <xf borderId="10" fillId="0" fontId="2" numFmtId="0" xfId="0" applyAlignment="1" applyBorder="1" applyFont="1">
      <alignment horizontal="center" readingOrder="0"/>
    </xf>
    <xf borderId="10" fillId="5" fontId="2" numFmtId="0" xfId="0" applyAlignment="1" applyBorder="1" applyFill="1" applyFont="1">
      <alignment horizontal="center" readingOrder="0"/>
    </xf>
    <xf borderId="10" fillId="0" fontId="2" numFmtId="0" xfId="0" applyAlignment="1" applyBorder="1" applyFont="1">
      <alignment readingOrder="0"/>
    </xf>
    <xf borderId="10" fillId="6" fontId="2" numFmtId="0" xfId="0" applyAlignment="1" applyBorder="1" applyFill="1" applyFont="1">
      <alignment readingOrder="0"/>
    </xf>
    <xf borderId="10" fillId="0" fontId="2" numFmtId="0" xfId="0" applyBorder="1" applyFont="1"/>
    <xf borderId="10" fillId="5" fontId="2" numFmtId="0" xfId="0" applyBorder="1" applyFont="1"/>
    <xf borderId="7" fillId="7" fontId="2" numFmtId="0" xfId="0" applyAlignment="1" applyBorder="1" applyFill="1" applyFont="1">
      <alignment horizontal="center" readingOrder="0"/>
    </xf>
    <xf borderId="7" fillId="8" fontId="2" numFmtId="0" xfId="0" applyAlignment="1" applyBorder="1" applyFill="1" applyFont="1">
      <alignment horizontal="center" readingOrder="0"/>
    </xf>
    <xf borderId="7" fillId="3" fontId="2" numFmtId="0" xfId="0" applyAlignment="1" applyBorder="1" applyFont="1">
      <alignment horizontal="center" readingOrder="0"/>
    </xf>
    <xf borderId="10" fillId="6" fontId="2" numFmtId="0" xfId="0" applyAlignment="1" applyBorder="1" applyFont="1">
      <alignment horizontal="center" readingOrder="0"/>
    </xf>
    <xf borderId="10" fillId="2" fontId="2" numFmtId="0" xfId="0" applyAlignment="1" applyBorder="1" applyFont="1">
      <alignment readingOrder="0"/>
    </xf>
    <xf borderId="10" fillId="0" fontId="5" numFmtId="0" xfId="0" applyAlignment="1" applyBorder="1" applyFont="1">
      <alignment horizontal="center" readingOrder="0"/>
    </xf>
    <xf borderId="10" fillId="9" fontId="2" numFmtId="0" xfId="0" applyAlignment="1" applyBorder="1" applyFill="1" applyFont="1">
      <alignment readingOrder="0"/>
    </xf>
    <xf borderId="10" fillId="9" fontId="2" numFmtId="4" xfId="0" applyAlignment="1" applyBorder="1" applyFont="1" applyNumberFormat="1">
      <alignment readingOrder="0"/>
    </xf>
    <xf borderId="10" fillId="0" fontId="2" numFmtId="4" xfId="0" applyAlignment="1" applyBorder="1" applyFont="1" applyNumberFormat="1">
      <alignment readingOrder="0"/>
    </xf>
    <xf borderId="10" fillId="5" fontId="2" numFmtId="4" xfId="0" applyBorder="1" applyFont="1" applyNumberFormat="1"/>
    <xf borderId="10" fillId="5" fontId="2" numFmtId="4" xfId="0" applyAlignment="1" applyBorder="1" applyFont="1" applyNumberFormat="1">
      <alignment readingOrder="0"/>
    </xf>
    <xf borderId="10" fillId="0" fontId="2" numFmtId="4" xfId="0" applyBorder="1" applyFont="1" applyNumberFormat="1"/>
    <xf borderId="10" fillId="6" fontId="2" numFmtId="0" xfId="0" applyBorder="1" applyFont="1"/>
    <xf borderId="10" fillId="0" fontId="6" numFmtId="0" xfId="0" applyAlignment="1" applyBorder="1" applyFont="1">
      <alignment horizontal="center" readingOrder="0"/>
    </xf>
    <xf borderId="10" fillId="10" fontId="2" numFmtId="0" xfId="0" applyAlignment="1" applyBorder="1" applyFill="1" applyFont="1">
      <alignment readingOrder="0"/>
    </xf>
    <xf borderId="10" fillId="0" fontId="7" numFmtId="0" xfId="0" applyAlignment="1" applyBorder="1" applyFont="1">
      <alignment horizontal="center" readingOrder="0"/>
    </xf>
    <xf borderId="0" fillId="0" fontId="2" numFmtId="0" xfId="0" applyFont="1"/>
    <xf borderId="10" fillId="0" fontId="2" numFmtId="10" xfId="0" applyBorder="1" applyFont="1" applyNumberFormat="1"/>
    <xf borderId="10" fillId="9" fontId="2" numFmtId="10" xfId="0" applyBorder="1" applyFont="1" applyNumberFormat="1"/>
    <xf borderId="10" fillId="4" fontId="2" numFmtId="10" xfId="0" applyBorder="1" applyFont="1" applyNumberFormat="1"/>
    <xf borderId="10" fillId="6" fontId="2" numFmtId="10" xfId="0" applyBorder="1" applyFont="1" applyNumberFormat="1"/>
    <xf borderId="11" fillId="0" fontId="2" numFmtId="10" xfId="0" applyBorder="1" applyFont="1" applyNumberFormat="1"/>
    <xf borderId="10" fillId="5" fontId="2" numFmtId="0" xfId="0" applyAlignment="1" applyBorder="1" applyFont="1">
      <alignment readingOrder="0"/>
    </xf>
    <xf borderId="10" fillId="0" fontId="2" numFmtId="0" xfId="0" applyBorder="1" applyFont="1"/>
    <xf borderId="12" fillId="0" fontId="2" numFmtId="10" xfId="0" applyBorder="1" applyFont="1" applyNumberFormat="1"/>
    <xf borderId="0" fillId="0" fontId="2" numFmtId="4" xfId="0" applyFont="1" applyNumberFormat="1"/>
    <xf borderId="10" fillId="11" fontId="2" numFmtId="0" xfId="0" applyAlignment="1" applyBorder="1" applyFill="1" applyFont="1">
      <alignment readingOrder="0"/>
    </xf>
    <xf borderId="10" fillId="4" fontId="2" numFmtId="0" xfId="0" applyAlignment="1" applyBorder="1" applyFont="1">
      <alignment readingOrder="0"/>
    </xf>
    <xf borderId="10" fillId="0" fontId="8" numFmtId="0" xfId="0" applyAlignment="1" applyBorder="1" applyFont="1">
      <alignment horizontal="center" readingOrder="0"/>
    </xf>
    <xf borderId="10" fillId="10" fontId="2" numFmtId="4" xfId="0" applyAlignment="1" applyBorder="1" applyFont="1" applyNumberFormat="1">
      <alignment readingOrder="0"/>
    </xf>
    <xf borderId="10" fillId="10" fontId="2" numFmtId="4" xfId="0" applyBorder="1" applyFont="1" applyNumberFormat="1"/>
    <xf borderId="7" fillId="9" fontId="2" numFmtId="10" xfId="0" applyBorder="1" applyFont="1" applyNumberFormat="1"/>
    <xf borderId="0" fillId="0" fontId="9" numFmtId="0" xfId="0" applyAlignment="1" applyFont="1">
      <alignment vertical="bottom"/>
    </xf>
    <xf borderId="1" fillId="10" fontId="10" numFmtId="0" xfId="0" applyAlignment="1" applyBorder="1" applyFont="1">
      <alignment horizontal="center" vertical="bottom"/>
    </xf>
    <xf borderId="7" fillId="4" fontId="9" numFmtId="0" xfId="0" applyAlignment="1" applyBorder="1" applyFont="1">
      <alignment horizontal="center" vertical="bottom"/>
    </xf>
    <xf borderId="10" fillId="0" fontId="9" numFmtId="0" xfId="0" applyAlignment="1" applyBorder="1" applyFont="1">
      <alignment horizontal="center" vertical="bottom"/>
    </xf>
    <xf borderId="10" fillId="5" fontId="9" numFmtId="0" xfId="0" applyAlignment="1" applyBorder="1" applyFont="1">
      <alignment horizontal="center" vertical="bottom"/>
    </xf>
    <xf borderId="10" fillId="0" fontId="9" numFmtId="0" xfId="0" applyAlignment="1" applyBorder="1" applyFont="1">
      <alignment vertical="bottom"/>
    </xf>
    <xf borderId="10" fillId="6" fontId="9" numFmtId="0" xfId="0" applyAlignment="1" applyBorder="1" applyFont="1">
      <alignment vertical="bottom"/>
    </xf>
    <xf borderId="10" fillId="6" fontId="9" numFmtId="0" xfId="0" applyAlignment="1" applyBorder="1" applyFont="1">
      <alignment horizontal="right" vertical="bottom"/>
    </xf>
    <xf borderId="10" fillId="0" fontId="9" numFmtId="0" xfId="0" applyAlignment="1" applyBorder="1" applyFont="1">
      <alignment horizontal="right" readingOrder="0" vertical="bottom"/>
    </xf>
    <xf borderId="10" fillId="0" fontId="9" numFmtId="0" xfId="0" applyAlignment="1" applyBorder="1" applyFont="1">
      <alignment horizontal="right" vertical="bottom"/>
    </xf>
    <xf borderId="10" fillId="5" fontId="9" numFmtId="0" xfId="0" applyAlignment="1" applyBorder="1" applyFont="1">
      <alignment horizontal="right" vertical="bottom"/>
    </xf>
    <xf borderId="10" fillId="0" fontId="9" numFmtId="0" xfId="0" applyAlignment="1" applyBorder="1" applyFont="1">
      <alignment readingOrder="0" vertical="bottom"/>
    </xf>
    <xf borderId="7" fillId="3" fontId="9" numFmtId="0" xfId="0" applyAlignment="1" applyBorder="1" applyFont="1">
      <alignment horizontal="center" vertical="bottom"/>
    </xf>
    <xf borderId="0" fillId="0" fontId="9" numFmtId="0" xfId="0" applyAlignment="1" applyFont="1">
      <alignment horizontal="right" vertical="bottom"/>
    </xf>
    <xf borderId="10" fillId="9" fontId="2" numFmtId="4" xfId="0" applyBorder="1" applyFont="1" applyNumberFormat="1"/>
    <xf borderId="10" fillId="6" fontId="2" numFmtId="4" xfId="0" applyBorder="1" applyFont="1" applyNumberFormat="1"/>
    <xf borderId="0" fillId="0" fontId="9" numFmtId="10" xfId="0" applyAlignment="1" applyFont="1" applyNumberFormat="1">
      <alignment vertical="bottom"/>
    </xf>
    <xf borderId="10" fillId="0" fontId="9" numFmtId="10" xfId="0" applyAlignment="1" applyBorder="1" applyFont="1" applyNumberFormat="1">
      <alignment horizontal="right" vertical="bottom"/>
    </xf>
    <xf borderId="10" fillId="9" fontId="9" numFmtId="10" xfId="0" applyAlignment="1" applyBorder="1" applyFont="1" applyNumberFormat="1">
      <alignment horizontal="right" vertical="bottom"/>
    </xf>
    <xf borderId="11" fillId="0" fontId="9" numFmtId="10" xfId="0" applyAlignment="1" applyBorder="1" applyFont="1" applyNumberFormat="1">
      <alignment horizontal="right" vertical="bottom"/>
    </xf>
    <xf borderId="10" fillId="4" fontId="2" numFmtId="4" xfId="0" applyBorder="1" applyFont="1" applyNumberFormat="1"/>
    <xf borderId="12" fillId="0" fontId="9" numFmtId="10" xfId="0" applyAlignment="1" applyBorder="1" applyFont="1" applyNumberFormat="1">
      <alignment horizontal="right" vertical="bottom"/>
    </xf>
    <xf borderId="1" fillId="10" fontId="10" numFmtId="0" xfId="0" applyAlignment="1" applyBorder="1" applyFont="1">
      <alignment horizontal="center" readingOrder="0" vertical="bottom"/>
    </xf>
    <xf borderId="7" fillId="5" fontId="2" numFmtId="0" xfId="0" applyAlignment="1" applyBorder="1" applyFont="1">
      <alignment horizontal="center" readingOrder="0"/>
    </xf>
    <xf borderId="7" fillId="3" fontId="1" numFmtId="0" xfId="0" applyAlignment="1" applyBorder="1" applyFont="1">
      <alignment horizontal="center" readingOrder="0"/>
    </xf>
    <xf borderId="7" fillId="4" fontId="1" numFmtId="0" xfId="0" applyAlignment="1" applyBorder="1" applyFont="1">
      <alignment horizontal="center" readingOrder="0"/>
    </xf>
    <xf borderId="7" fillId="6" fontId="1" numFmtId="0" xfId="0" applyAlignment="1" applyBorder="1" applyFont="1">
      <alignment horizontal="center" readingOrder="0"/>
    </xf>
    <xf borderId="10" fillId="9" fontId="2" numFmtId="0" xfId="0" applyAlignment="1" applyBorder="1" applyFont="1">
      <alignment horizontal="center" readingOrder="0"/>
    </xf>
    <xf borderId="10" fillId="11" fontId="2" numFmtId="0" xfId="0" applyAlignment="1" applyBorder="1" applyFont="1">
      <alignment horizontal="center" readingOrder="0"/>
    </xf>
    <xf borderId="1" fillId="11" fontId="3" numFmtId="0" xfId="0" applyAlignment="1" applyBorder="1" applyFont="1">
      <alignment horizontal="center" readingOrder="0"/>
    </xf>
    <xf borderId="7" fillId="5" fontId="2" numFmtId="0" xfId="0" applyAlignment="1" applyBorder="1" applyFont="1">
      <alignment readingOrder="0"/>
    </xf>
    <xf borderId="10" fillId="12" fontId="2" numFmtId="0" xfId="0" applyAlignment="1" applyBorder="1" applyFill="1" applyFont="1">
      <alignment horizontal="center" readingOrder="0"/>
    </xf>
    <xf borderId="10" fillId="13" fontId="2" numFmtId="0" xfId="0" applyAlignment="1" applyBorder="1" applyFill="1" applyFont="1">
      <alignment readingOrder="0"/>
    </xf>
    <xf borderId="0" fillId="9" fontId="2" numFmtId="0" xfId="0" applyFont="1"/>
    <xf borderId="0" fillId="9" fontId="2" numFmtId="0" xfId="0" applyAlignment="1" applyFont="1">
      <alignment readingOrder="0"/>
    </xf>
    <xf borderId="10" fillId="12" fontId="2" numFmtId="0" xfId="0" applyAlignment="1" applyBorder="1" applyFont="1">
      <alignment readingOrder="0"/>
    </xf>
    <xf borderId="10" fillId="12" fontId="2" numFmtId="0" xfId="0" applyBorder="1" applyFont="1"/>
    <xf borderId="10" fillId="13" fontId="2" numFmtId="0" xfId="0" applyBorder="1" applyFont="1"/>
    <xf borderId="0" fillId="14" fontId="2" numFmtId="0" xfId="0" applyAlignment="1" applyFill="1" applyFont="1">
      <alignment readingOrder="0"/>
    </xf>
    <xf borderId="0" fillId="12" fontId="2" numFmtId="0" xfId="0" applyFont="1"/>
    <xf borderId="0" fillId="14" fontId="2" numFmtId="0" xfId="0" applyFont="1"/>
    <xf borderId="10" fillId="14" fontId="2" numFmtId="0" xfId="0" applyBorder="1" applyFont="1"/>
    <xf borderId="0" fillId="13" fontId="2" numFmtId="0" xfId="0" applyFont="1"/>
    <xf borderId="10" fillId="14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ubbleChart>
        <c:ser>
          <c:idx val="0"/>
          <c:order val="0"/>
          <c:tx>
            <c:strRef>
              <c:f>'Benchmark DATA'!$B$18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'Benchmark DATA'!$Q$18</c:f>
            </c:strRef>
          </c:xVal>
          <c:yVal>
            <c:numRef>
              <c:f>'Benchmark DATA'!$R$18</c:f>
              <c:numCache/>
            </c:numRef>
          </c:yVal>
          <c:bubbleSize>
            <c:numRef>
              <c:f>'Benchmark DATA'!$E$18</c:f>
            </c:numRef>
          </c:bubbleSize>
        </c:ser>
        <c:ser>
          <c:idx val="1"/>
          <c:order val="1"/>
          <c:tx>
            <c:strRef>
              <c:f>'Benchmark DATA'!$B$19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'Benchmark DATA'!$Q$19</c:f>
            </c:strRef>
          </c:xVal>
          <c:yVal>
            <c:numRef>
              <c:f>'Benchmark DATA'!$R$19</c:f>
              <c:numCache/>
            </c:numRef>
          </c:yVal>
          <c:bubbleSize>
            <c:numRef>
              <c:f>'Benchmark DATA'!$E$19</c:f>
            </c:numRef>
          </c:bubbleSize>
        </c:ser>
        <c:ser>
          <c:idx val="2"/>
          <c:order val="2"/>
          <c:tx>
            <c:strRef>
              <c:f>'Benchmark DATA'!$B$20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'Benchmark DATA'!$Q$20</c:f>
            </c:strRef>
          </c:xVal>
          <c:yVal>
            <c:numRef>
              <c:f>'Benchmark DATA'!$R$20</c:f>
              <c:numCache/>
            </c:numRef>
          </c:yVal>
          <c:bubbleSize>
            <c:numRef>
              <c:f>'Benchmark DATA'!$E$20</c:f>
            </c:numRef>
          </c:bubbleSize>
        </c:ser>
        <c:ser>
          <c:idx val="3"/>
          <c:order val="3"/>
          <c:tx>
            <c:strRef>
              <c:f>'Benchmark DATA'!$B$21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'Benchmark DATA'!$Q$21</c:f>
            </c:strRef>
          </c:xVal>
          <c:yVal>
            <c:numRef>
              <c:f>'Benchmark DATA'!$R$21</c:f>
              <c:numCache/>
            </c:numRef>
          </c:yVal>
          <c:bubbleSize>
            <c:numRef>
              <c:f>'Benchmark DATA'!$E$21</c:f>
            </c:numRef>
          </c:bubbleSize>
        </c:ser>
        <c:ser>
          <c:idx val="4"/>
          <c:order val="4"/>
          <c:tx>
            <c:strRef>
              <c:f>'Benchmark DATA'!$B$22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'Benchmark DATA'!$Q$22</c:f>
            </c:strRef>
          </c:xVal>
          <c:yVal>
            <c:numRef>
              <c:f>'Benchmark DATA'!$R$22</c:f>
              <c:numCache/>
            </c:numRef>
          </c:yVal>
          <c:bubbleSize>
            <c:numRef>
              <c:f>'Benchmark DATA'!$E$22</c:f>
            </c:numRef>
          </c:bubbleSize>
        </c:ser>
        <c:ser>
          <c:idx val="5"/>
          <c:order val="5"/>
          <c:tx>
            <c:strRef>
              <c:f>'Benchmark DATA'!$B$23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'Benchmark DATA'!$Q$23</c:f>
            </c:strRef>
          </c:xVal>
          <c:yVal>
            <c:numRef>
              <c:f>'Benchmark DATA'!$R$23</c:f>
              <c:numCache/>
            </c:numRef>
          </c:yVal>
          <c:bubbleSize>
            <c:numRef>
              <c:f>'Benchmark DATA'!$E$23</c:f>
            </c:numRef>
          </c:bubbleSize>
        </c:ser>
        <c:ser>
          <c:idx val="6"/>
          <c:order val="6"/>
          <c:tx>
            <c:strRef>
              <c:f>'Benchmark DATA'!$B$24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'Benchmark DATA'!$Q$24</c:f>
            </c:strRef>
          </c:xVal>
          <c:yVal>
            <c:numRef>
              <c:f>'Benchmark DATA'!$R$24</c:f>
              <c:numCache/>
            </c:numRef>
          </c:yVal>
          <c:bubbleSize>
            <c:numRef>
              <c:f>'Benchmark DATA'!$E$24</c:f>
            </c:numRef>
          </c:bubbleSize>
        </c:ser>
        <c:ser>
          <c:idx val="7"/>
          <c:order val="7"/>
          <c:tx>
            <c:strRef>
              <c:f>'Benchmark DATA'!$B$25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'Benchmark DATA'!$Q$25</c:f>
            </c:strRef>
          </c:xVal>
          <c:yVal>
            <c:numRef>
              <c:f>'Benchmark DATA'!$R$25</c:f>
              <c:numCache/>
            </c:numRef>
          </c:yVal>
          <c:bubbleSize>
            <c:numRef>
              <c:f>'Benchmark DATA'!$E$25</c:f>
            </c:numRef>
          </c:bubbleSize>
        </c:ser>
        <c:ser>
          <c:idx val="8"/>
          <c:order val="8"/>
          <c:tx>
            <c:strRef>
              <c:f>'Benchmark DATA'!$B$26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'Benchmark DATA'!$Q$26</c:f>
            </c:strRef>
          </c:xVal>
          <c:yVal>
            <c:numRef>
              <c:f>'Benchmark DATA'!$R$26</c:f>
              <c:numCache/>
            </c:numRef>
          </c:yVal>
          <c:bubbleSize>
            <c:numRef>
              <c:f>'Benchmark DATA'!$E$26</c:f>
            </c:numRef>
          </c:bubbleSize>
        </c:ser>
        <c:ser>
          <c:idx val="9"/>
          <c:order val="9"/>
          <c:tx>
            <c:strRef>
              <c:f>'Benchmark DATA'!$B$27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'Benchmark DATA'!$Q$27</c:f>
            </c:strRef>
          </c:xVal>
          <c:yVal>
            <c:numRef>
              <c:f>'Benchmark DATA'!$R$27</c:f>
              <c:numCache/>
            </c:numRef>
          </c:yVal>
          <c:bubbleSize>
            <c:numRef>
              <c:f>'Benchmark DATA'!$E$27</c:f>
            </c:numRef>
          </c:bubbleSize>
        </c:ser>
        <c:ser>
          <c:idx val="10"/>
          <c:order val="10"/>
          <c:tx>
            <c:strRef>
              <c:f>'Benchmark DATA'!$B$28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'Benchmark DATA'!$Q$28</c:f>
            </c:strRef>
          </c:xVal>
          <c:yVal>
            <c:numRef>
              <c:f>'Benchmark DATA'!$R$28</c:f>
              <c:numCache/>
            </c:numRef>
          </c:yVal>
          <c:bubbleSize>
            <c:numRef>
              <c:f>'Benchmark DATA'!$E$28</c:f>
            </c:numRef>
          </c:bubbleSize>
        </c:ser>
        <c:ser>
          <c:idx val="11"/>
          <c:order val="11"/>
          <c:tx>
            <c:strRef>
              <c:f>'Benchmark DATA'!$B$29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'Benchmark DATA'!$Q$29</c:f>
            </c:strRef>
          </c:xVal>
          <c:yVal>
            <c:numRef>
              <c:f>'Benchmark DATA'!$R$29</c:f>
              <c:numCache/>
            </c:numRef>
          </c:yVal>
          <c:bubbleSize>
            <c:numRef>
              <c:f>'Benchmark DATA'!$E$29</c:f>
            </c:numRef>
          </c:bubbleSize>
        </c:ser>
        <c:ser>
          <c:idx val="12"/>
          <c:order val="12"/>
          <c:tx>
            <c:strRef>
              <c:f>'Benchmark DATA'!$B$30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'Benchmark DATA'!$Q$30</c:f>
            </c:strRef>
          </c:xVal>
          <c:yVal>
            <c:numRef>
              <c:f>'Benchmark DATA'!$R$30</c:f>
              <c:numCache/>
            </c:numRef>
          </c:yVal>
          <c:bubbleSize>
            <c:numRef>
              <c:f>'Benchmark DATA'!$E$30</c:f>
            </c:numRef>
          </c:bubbleSize>
        </c:ser>
        <c:ser>
          <c:idx val="13"/>
          <c:order val="13"/>
          <c:tx>
            <c:strRef>
              <c:f>'Benchmark DATA'!$B$31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'Benchmark DATA'!$Q$31</c:f>
            </c:strRef>
          </c:xVal>
          <c:yVal>
            <c:numRef>
              <c:f>'Benchmark DATA'!$R$31</c:f>
              <c:numCache/>
            </c:numRef>
          </c:yVal>
          <c:bubbleSize>
            <c:numRef>
              <c:f>'Benchmark DATA'!$E$31</c:f>
            </c:numRef>
          </c:bubbleSize>
        </c:ser>
        <c:ser>
          <c:idx val="14"/>
          <c:order val="14"/>
          <c:tx>
            <c:strRef>
              <c:f>'Benchmark DATA'!$B$32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'Benchmark DATA'!$Q$32</c:f>
            </c:strRef>
          </c:xVal>
          <c:yVal>
            <c:numRef>
              <c:f>'Benchmark DATA'!$R$32</c:f>
              <c:numCache/>
            </c:numRef>
          </c:yVal>
          <c:bubbleSize>
            <c:numRef>
              <c:f>'Benchmark DATA'!$E$32</c:f>
            </c:numRef>
          </c:bubbleSize>
        </c:ser>
        <c:ser>
          <c:idx val="15"/>
          <c:order val="15"/>
          <c:tx>
            <c:strRef>
              <c:f>'Benchmark DATA'!$B$33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'Benchmark DATA'!$Q$33</c:f>
            </c:strRef>
          </c:xVal>
          <c:yVal>
            <c:numRef>
              <c:f>'Benchmark DATA'!$R$33</c:f>
              <c:numCache/>
            </c:numRef>
          </c:yVal>
          <c:bubbleSize>
            <c:numRef>
              <c:f>'Benchmark DATA'!$E$33</c:f>
            </c:numRef>
          </c:bubbleSize>
        </c:ser>
        <c:ser>
          <c:idx val="16"/>
          <c:order val="16"/>
          <c:tx>
            <c:strRef>
              <c:f>'Benchmark DATA'!$B$34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'Benchmark DATA'!$Q$34</c:f>
            </c:strRef>
          </c:xVal>
          <c:yVal>
            <c:numRef>
              <c:f>'Benchmark DATA'!$R$34</c:f>
              <c:numCache/>
            </c:numRef>
          </c:yVal>
          <c:bubbleSize>
            <c:numRef>
              <c:f>'Benchmark DATA'!$E$34</c:f>
            </c:numRef>
          </c:bubbleSize>
        </c:ser>
        <c:ser>
          <c:idx val="17"/>
          <c:order val="17"/>
          <c:tx>
            <c:strRef>
              <c:f>'Benchmark DATA'!$B$35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'Benchmark DATA'!$Q$35</c:f>
            </c:strRef>
          </c:xVal>
          <c:yVal>
            <c:numRef>
              <c:f>'Benchmark DATA'!$R$35</c:f>
              <c:numCache/>
            </c:numRef>
          </c:yVal>
          <c:bubbleSize>
            <c:numRef>
              <c:f>'Benchmark DATA'!$E$35</c:f>
            </c:numRef>
          </c:bubbleSize>
        </c:ser>
        <c:ser>
          <c:idx val="18"/>
          <c:order val="18"/>
          <c:tx>
            <c:strRef>
              <c:f>'Benchmark DATA'!$B$36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'Benchmark DATA'!$Q$36</c:f>
            </c:strRef>
          </c:xVal>
          <c:yVal>
            <c:numRef>
              <c:f>'Benchmark DATA'!$R$36</c:f>
              <c:numCache/>
            </c:numRef>
          </c:yVal>
          <c:bubbleSize>
            <c:numRef>
              <c:f>'Benchmark DATA'!$E$36</c:f>
            </c:numRef>
          </c:bubbleSize>
        </c:ser>
        <c:ser>
          <c:idx val="19"/>
          <c:order val="19"/>
          <c:tx>
            <c:strRef>
              <c:f>'Benchmark DATA'!$B$37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'Benchmark DATA'!$Q$37</c:f>
            </c:strRef>
          </c:xVal>
          <c:yVal>
            <c:numRef>
              <c:f>'Benchmark DATA'!$R$37</c:f>
              <c:numCache/>
            </c:numRef>
          </c:yVal>
          <c:bubbleSize>
            <c:numRef>
              <c:f>'Benchmark DATA'!$E$37</c:f>
            </c:numRef>
          </c:bubbleSize>
        </c:ser>
        <c:ser>
          <c:idx val="20"/>
          <c:order val="20"/>
          <c:tx>
            <c:strRef>
              <c:f>'Benchmark DATA'!$B$38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'Benchmark DATA'!$Q$38</c:f>
            </c:strRef>
          </c:xVal>
          <c:yVal>
            <c:numRef>
              <c:f>'Benchmark DATA'!$R$38</c:f>
              <c:numCache/>
            </c:numRef>
          </c:yVal>
          <c:bubbleSize>
            <c:numRef>
              <c:f>'Benchmark DATA'!$E$38</c:f>
            </c:numRef>
          </c:bubbleSize>
        </c:ser>
        <c:ser>
          <c:idx val="21"/>
          <c:order val="21"/>
          <c:tx>
            <c:strRef>
              <c:f>'Benchmark DATA'!$B$39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'Benchmark DATA'!$Q$39</c:f>
            </c:strRef>
          </c:xVal>
          <c:yVal>
            <c:numRef>
              <c:f>'Benchmark DATA'!$R$39</c:f>
              <c:numCache/>
            </c:numRef>
          </c:yVal>
          <c:bubbleSize>
            <c:numRef>
              <c:f>'Benchmark DATA'!$E$39</c:f>
            </c:numRef>
          </c:bubbleSize>
        </c:ser>
        <c:ser>
          <c:idx val="22"/>
          <c:order val="22"/>
          <c:tx>
            <c:strRef>
              <c:f>'Benchmark DATA'!$B$40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'Benchmark DATA'!$Q$40</c:f>
            </c:strRef>
          </c:xVal>
          <c:yVal>
            <c:numRef>
              <c:f>'Benchmark DATA'!$R$40</c:f>
              <c:numCache/>
            </c:numRef>
          </c:yVal>
          <c:bubbleSize>
            <c:numRef>
              <c:f>'Benchmark DATA'!$E$40</c:f>
            </c:numRef>
          </c:bubbleSize>
        </c:ser>
        <c:ser>
          <c:idx val="23"/>
          <c:order val="23"/>
          <c:tx>
            <c:strRef>
              <c:f>'Benchmark DATA'!$B$41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'Benchmark DATA'!$Q$41</c:f>
            </c:strRef>
          </c:xVal>
          <c:yVal>
            <c:numRef>
              <c:f>'Benchmark DATA'!$R$41</c:f>
              <c:numCache/>
            </c:numRef>
          </c:yVal>
          <c:bubbleSize>
            <c:numRef>
              <c:f>'Benchmark DATA'!$E$41</c:f>
            </c:numRef>
          </c:bubbleSize>
        </c:ser>
        <c:axId val="1554006911"/>
        <c:axId val="1331610487"/>
      </c:bubbleChart>
      <c:valAx>
        <c:axId val="15540069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1610487"/>
      </c:valAx>
      <c:valAx>
        <c:axId val="13316104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4006911"/>
      </c:valAx>
    </c:plotArea>
    <c:legend>
      <c:legendPos val="r"/>
      <c:layout>
        <c:manualLayout>
          <c:xMode val="edge"/>
          <c:yMode val="edge"/>
          <c:x val="0.9073186704168604"/>
          <c:y val="0.3483970406905056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10 Blocs/Cycles/bit, 40 Blocs/Cycles/bit, 80 Blocs/Cycles/bit et 100 Blocs/Cycles/bit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'Benchmark DATA'!$B$17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('Benchmark DATA'!$R$16,'Benchmark DATA'!$X$16,'Benchmark DATA'!$AD$16,'Benchmark DATA'!$AJ$16)</c:f>
            </c:strRef>
          </c:cat>
          <c:val>
            <c:numRef>
              <c:f>('Benchmark DATA'!$R$17,'Benchmark DATA'!$X$17,'Benchmark DATA'!$AD$17,'Benchmark DATA'!$AJ$17)</c:f>
              <c:numCache/>
            </c:numRef>
          </c:val>
          <c:smooth val="0"/>
        </c:ser>
        <c:ser>
          <c:idx val="1"/>
          <c:order val="1"/>
          <c:tx>
            <c:strRef>
              <c:f>'Benchmark DATA'!$B$18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('Benchmark DATA'!$R$16,'Benchmark DATA'!$X$16,'Benchmark DATA'!$AD$16,'Benchmark DATA'!$AJ$16)</c:f>
            </c:strRef>
          </c:cat>
          <c:val>
            <c:numRef>
              <c:f>('Benchmark DATA'!$R$18,'Benchmark DATA'!$X$18,'Benchmark DATA'!$AD$18,'Benchmark DATA'!$AJ$18)</c:f>
              <c:numCache/>
            </c:numRef>
          </c:val>
          <c:smooth val="0"/>
        </c:ser>
        <c:ser>
          <c:idx val="2"/>
          <c:order val="2"/>
          <c:tx>
            <c:strRef>
              <c:f>'Benchmark DATA'!$B$19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('Benchmark DATA'!$R$16,'Benchmark DATA'!$X$16,'Benchmark DATA'!$AD$16,'Benchmark DATA'!$AJ$16)</c:f>
            </c:strRef>
          </c:cat>
          <c:val>
            <c:numRef>
              <c:f>('Benchmark DATA'!$R$19,'Benchmark DATA'!$X$19,'Benchmark DATA'!$AD$19,'Benchmark DATA'!$AJ$19)</c:f>
              <c:numCache/>
            </c:numRef>
          </c:val>
          <c:smooth val="0"/>
        </c:ser>
        <c:ser>
          <c:idx val="3"/>
          <c:order val="3"/>
          <c:tx>
            <c:strRef>
              <c:f>'Benchmark DATA'!$B$20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('Benchmark DATA'!$R$16,'Benchmark DATA'!$X$16,'Benchmark DATA'!$AD$16,'Benchmark DATA'!$AJ$16)</c:f>
            </c:strRef>
          </c:cat>
          <c:val>
            <c:numRef>
              <c:f>('Benchmark DATA'!$R$20,'Benchmark DATA'!$X$20,'Benchmark DATA'!$AD$20,'Benchmark DATA'!$AJ$20)</c:f>
              <c:numCache/>
            </c:numRef>
          </c:val>
          <c:smooth val="0"/>
        </c:ser>
        <c:ser>
          <c:idx val="4"/>
          <c:order val="4"/>
          <c:tx>
            <c:strRef>
              <c:f>'Benchmark DATA'!$B$21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('Benchmark DATA'!$R$16,'Benchmark DATA'!$X$16,'Benchmark DATA'!$AD$16,'Benchmark DATA'!$AJ$16)</c:f>
            </c:strRef>
          </c:cat>
          <c:val>
            <c:numRef>
              <c:f>('Benchmark DATA'!$R$21,'Benchmark DATA'!$X$21,'Benchmark DATA'!$AD$21,'Benchmark DATA'!$AJ$21)</c:f>
              <c:numCache/>
            </c:numRef>
          </c:val>
          <c:smooth val="0"/>
        </c:ser>
        <c:ser>
          <c:idx val="5"/>
          <c:order val="5"/>
          <c:tx>
            <c:strRef>
              <c:f>'Benchmark DATA'!$B$22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('Benchmark DATA'!$R$16,'Benchmark DATA'!$X$16,'Benchmark DATA'!$AD$16,'Benchmark DATA'!$AJ$16)</c:f>
            </c:strRef>
          </c:cat>
          <c:val>
            <c:numRef>
              <c:f>('Benchmark DATA'!$R$22,'Benchmark DATA'!$X$22,'Benchmark DATA'!$AD$22,'Benchmark DATA'!$AJ$22)</c:f>
              <c:numCache/>
            </c:numRef>
          </c:val>
          <c:smooth val="0"/>
        </c:ser>
        <c:ser>
          <c:idx val="6"/>
          <c:order val="6"/>
          <c:tx>
            <c:strRef>
              <c:f>'Benchmark DATA'!$B$23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('Benchmark DATA'!$R$16,'Benchmark DATA'!$X$16,'Benchmark DATA'!$AD$16,'Benchmark DATA'!$AJ$16)</c:f>
            </c:strRef>
          </c:cat>
          <c:val>
            <c:numRef>
              <c:f>('Benchmark DATA'!$R$23,'Benchmark DATA'!$X$23,'Benchmark DATA'!$AD$23,'Benchmark DATA'!$AJ$23)</c:f>
              <c:numCache/>
            </c:numRef>
          </c:val>
          <c:smooth val="0"/>
        </c:ser>
        <c:ser>
          <c:idx val="7"/>
          <c:order val="7"/>
          <c:tx>
            <c:strRef>
              <c:f>'Benchmark DATA'!$B$24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('Benchmark DATA'!$R$16,'Benchmark DATA'!$X$16,'Benchmark DATA'!$AD$16,'Benchmark DATA'!$AJ$16)</c:f>
            </c:strRef>
          </c:cat>
          <c:val>
            <c:numRef>
              <c:f>('Benchmark DATA'!$R$24,'Benchmark DATA'!$X$24,'Benchmark DATA'!$AD$24,'Benchmark DATA'!$AJ$24)</c:f>
              <c:numCache/>
            </c:numRef>
          </c:val>
          <c:smooth val="0"/>
        </c:ser>
        <c:ser>
          <c:idx val="8"/>
          <c:order val="8"/>
          <c:tx>
            <c:strRef>
              <c:f>'Benchmark DATA'!$B$25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('Benchmark DATA'!$R$16,'Benchmark DATA'!$X$16,'Benchmark DATA'!$AD$16,'Benchmark DATA'!$AJ$16)</c:f>
            </c:strRef>
          </c:cat>
          <c:val>
            <c:numRef>
              <c:f>('Benchmark DATA'!$R$25,'Benchmark DATA'!$X$25,'Benchmark DATA'!$AD$25,'Benchmark DATA'!$AJ$25)</c:f>
              <c:numCache/>
            </c:numRef>
          </c:val>
          <c:smooth val="0"/>
        </c:ser>
        <c:ser>
          <c:idx val="9"/>
          <c:order val="9"/>
          <c:tx>
            <c:strRef>
              <c:f>'Benchmark DATA'!$B$26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('Benchmark DATA'!$R$16,'Benchmark DATA'!$X$16,'Benchmark DATA'!$AD$16,'Benchmark DATA'!$AJ$16)</c:f>
            </c:strRef>
          </c:cat>
          <c:val>
            <c:numRef>
              <c:f>('Benchmark DATA'!$R$26,'Benchmark DATA'!$X$26,'Benchmark DATA'!$AD$26,'Benchmark DATA'!$AJ$26)</c:f>
              <c:numCache/>
            </c:numRef>
          </c:val>
          <c:smooth val="0"/>
        </c:ser>
        <c:ser>
          <c:idx val="10"/>
          <c:order val="10"/>
          <c:tx>
            <c:strRef>
              <c:f>'Benchmark DATA'!$B$27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('Benchmark DATA'!$R$16,'Benchmark DATA'!$X$16,'Benchmark DATA'!$AD$16,'Benchmark DATA'!$AJ$16)</c:f>
            </c:strRef>
          </c:cat>
          <c:val>
            <c:numRef>
              <c:f>('Benchmark DATA'!$R$27,'Benchmark DATA'!$X$27,'Benchmark DATA'!$AD$27,'Benchmark DATA'!$AJ$27)</c:f>
              <c:numCache/>
            </c:numRef>
          </c:val>
          <c:smooth val="0"/>
        </c:ser>
        <c:ser>
          <c:idx val="11"/>
          <c:order val="11"/>
          <c:tx>
            <c:strRef>
              <c:f>'Benchmark DATA'!$B$28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('Benchmark DATA'!$R$16,'Benchmark DATA'!$X$16,'Benchmark DATA'!$AD$16,'Benchmark DATA'!$AJ$16)</c:f>
            </c:strRef>
          </c:cat>
          <c:val>
            <c:numRef>
              <c:f>('Benchmark DATA'!$R$28,'Benchmark DATA'!$X$28,'Benchmark DATA'!$AD$28,'Benchmark DATA'!$AJ$28)</c:f>
              <c:numCache/>
            </c:numRef>
          </c:val>
          <c:smooth val="0"/>
        </c:ser>
        <c:ser>
          <c:idx val="12"/>
          <c:order val="12"/>
          <c:tx>
            <c:strRef>
              <c:f>'Benchmark DATA'!$B$29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('Benchmark DATA'!$R$16,'Benchmark DATA'!$X$16,'Benchmark DATA'!$AD$16,'Benchmark DATA'!$AJ$16)</c:f>
            </c:strRef>
          </c:cat>
          <c:val>
            <c:numRef>
              <c:f>('Benchmark DATA'!$R$29,'Benchmark DATA'!$X$29,'Benchmark DATA'!$AD$29,'Benchmark DATA'!$AJ$29)</c:f>
              <c:numCache/>
            </c:numRef>
          </c:val>
          <c:smooth val="0"/>
        </c:ser>
        <c:ser>
          <c:idx val="13"/>
          <c:order val="13"/>
          <c:tx>
            <c:strRef>
              <c:f>'Benchmark DATA'!$B$30</c:f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('Benchmark DATA'!$R$16,'Benchmark DATA'!$X$16,'Benchmark DATA'!$AD$16,'Benchmark DATA'!$AJ$16)</c:f>
            </c:strRef>
          </c:cat>
          <c:val>
            <c:numRef>
              <c:f>('Benchmark DATA'!$R$30,'Benchmark DATA'!$X$30,'Benchmark DATA'!$AD$30,'Benchmark DATA'!$AJ$30)</c:f>
              <c:numCache/>
            </c:numRef>
          </c:val>
          <c:smooth val="0"/>
        </c:ser>
        <c:ser>
          <c:idx val="14"/>
          <c:order val="14"/>
          <c:tx>
            <c:strRef>
              <c:f>'Benchmark DATA'!$B$31</c:f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('Benchmark DATA'!$R$16,'Benchmark DATA'!$X$16,'Benchmark DATA'!$AD$16,'Benchmark DATA'!$AJ$16)</c:f>
            </c:strRef>
          </c:cat>
          <c:val>
            <c:numRef>
              <c:f>('Benchmark DATA'!$R$31,'Benchmark DATA'!$X$31,'Benchmark DATA'!$AD$31,'Benchmark DATA'!$AJ$31)</c:f>
              <c:numCache/>
            </c:numRef>
          </c:val>
          <c:smooth val="0"/>
        </c:ser>
        <c:ser>
          <c:idx val="15"/>
          <c:order val="15"/>
          <c:tx>
            <c:strRef>
              <c:f>'Benchmark DATA'!$B$32</c:f>
            </c:strRef>
          </c:tx>
          <c:spPr>
            <a:ln cmpd="sng">
              <a:solidFill>
                <a:srgbClr val="AEDCBA"/>
              </a:solidFill>
            </a:ln>
          </c:spPr>
          <c:marker>
            <c:symbol val="none"/>
          </c:marker>
          <c:cat>
            <c:strRef>
              <c:f>('Benchmark DATA'!$R$16,'Benchmark DATA'!$X$16,'Benchmark DATA'!$AD$16,'Benchmark DATA'!$AJ$16)</c:f>
            </c:strRef>
          </c:cat>
          <c:val>
            <c:numRef>
              <c:f>('Benchmark DATA'!$R$32,'Benchmark DATA'!$X$32,'Benchmark DATA'!$AD$32,'Benchmark DATA'!$AJ$32)</c:f>
              <c:numCache/>
            </c:numRef>
          </c:val>
          <c:smooth val="0"/>
        </c:ser>
        <c:ser>
          <c:idx val="16"/>
          <c:order val="16"/>
          <c:tx>
            <c:strRef>
              <c:f>'Benchmark DATA'!$B$33</c:f>
            </c:strRef>
          </c:tx>
          <c:spPr>
            <a:ln cmpd="sng">
              <a:solidFill>
                <a:srgbClr val="FFC599"/>
              </a:solidFill>
            </a:ln>
          </c:spPr>
          <c:marker>
            <c:symbol val="none"/>
          </c:marker>
          <c:cat>
            <c:strRef>
              <c:f>('Benchmark DATA'!$R$16,'Benchmark DATA'!$X$16,'Benchmark DATA'!$AD$16,'Benchmark DATA'!$AJ$16)</c:f>
            </c:strRef>
          </c:cat>
          <c:val>
            <c:numRef>
              <c:f>('Benchmark DATA'!$R$33,'Benchmark DATA'!$X$33,'Benchmark DATA'!$AD$33,'Benchmark DATA'!$AJ$33)</c:f>
              <c:numCache/>
            </c:numRef>
          </c:val>
          <c:smooth val="0"/>
        </c:ser>
        <c:ser>
          <c:idx val="17"/>
          <c:order val="17"/>
          <c:tx>
            <c:strRef>
              <c:f>'Benchmark DATA'!$B$34</c:f>
            </c:strRef>
          </c:tx>
          <c:spPr>
            <a:ln cmpd="sng">
              <a:solidFill>
                <a:srgbClr val="B5E5E8"/>
              </a:solidFill>
            </a:ln>
          </c:spPr>
          <c:marker>
            <c:symbol val="none"/>
          </c:marker>
          <c:cat>
            <c:strRef>
              <c:f>('Benchmark DATA'!$R$16,'Benchmark DATA'!$X$16,'Benchmark DATA'!$AD$16,'Benchmark DATA'!$AJ$16)</c:f>
            </c:strRef>
          </c:cat>
          <c:val>
            <c:numRef>
              <c:f>('Benchmark DATA'!$R$34,'Benchmark DATA'!$X$34,'Benchmark DATA'!$AD$34,'Benchmark DATA'!$AJ$34)</c:f>
              <c:numCache/>
            </c:numRef>
          </c:val>
          <c:smooth val="0"/>
        </c:ser>
        <c:ser>
          <c:idx val="18"/>
          <c:order val="18"/>
          <c:tx>
            <c:strRef>
              <c:f>'Benchmark DATA'!$B$35</c:f>
            </c:strRef>
          </c:tx>
          <c:spPr>
            <a:ln cmpd="sng">
              <a:solidFill>
                <a:srgbClr val="ECF3FE"/>
              </a:solidFill>
            </a:ln>
          </c:spPr>
          <c:marker>
            <c:symbol val="none"/>
          </c:marker>
          <c:cat>
            <c:strRef>
              <c:f>('Benchmark DATA'!$R$16,'Benchmark DATA'!$X$16,'Benchmark DATA'!$AD$16,'Benchmark DATA'!$AJ$16)</c:f>
            </c:strRef>
          </c:cat>
          <c:val>
            <c:numRef>
              <c:f>('Benchmark DATA'!$R$35,'Benchmark DATA'!$X$35,'Benchmark DATA'!$AD$35,'Benchmark DATA'!$AJ$35)</c:f>
              <c:numCache/>
            </c:numRef>
          </c:val>
          <c:smooth val="0"/>
        </c:ser>
        <c:ser>
          <c:idx val="19"/>
          <c:order val="19"/>
          <c:tx>
            <c:strRef>
              <c:f>'Benchmark DATA'!$B$36</c:f>
            </c:strRef>
          </c:tx>
          <c:spPr>
            <a:ln cmpd="sng">
              <a:solidFill>
                <a:srgbClr val="FDECEB"/>
              </a:solidFill>
            </a:ln>
          </c:spPr>
          <c:marker>
            <c:symbol val="none"/>
          </c:marker>
          <c:cat>
            <c:strRef>
              <c:f>('Benchmark DATA'!$R$16,'Benchmark DATA'!$X$16,'Benchmark DATA'!$AD$16,'Benchmark DATA'!$AJ$16)</c:f>
            </c:strRef>
          </c:cat>
          <c:val>
            <c:numRef>
              <c:f>('Benchmark DATA'!$R$36,'Benchmark DATA'!$X$36,'Benchmark DATA'!$AD$36,'Benchmark DATA'!$AJ$36)</c:f>
              <c:numCache/>
            </c:numRef>
          </c:val>
          <c:smooth val="0"/>
        </c:ser>
        <c:ser>
          <c:idx val="20"/>
          <c:order val="20"/>
          <c:tx>
            <c:strRef>
              <c:f>'Benchmark DATA'!$B$37</c:f>
            </c:strRef>
          </c:tx>
          <c:spPr>
            <a:ln cmpd="sng">
              <a:solidFill>
                <a:srgbClr val="FFF8E6"/>
              </a:solidFill>
            </a:ln>
          </c:spPr>
          <c:marker>
            <c:symbol val="none"/>
          </c:marker>
          <c:cat>
            <c:strRef>
              <c:f>('Benchmark DATA'!$R$16,'Benchmark DATA'!$X$16,'Benchmark DATA'!$AD$16,'Benchmark DATA'!$AJ$16)</c:f>
            </c:strRef>
          </c:cat>
          <c:val>
            <c:numRef>
              <c:f>('Benchmark DATA'!$R$37,'Benchmark DATA'!$X$37,'Benchmark DATA'!$AD$37,'Benchmark DATA'!$AJ$37)</c:f>
              <c:numCache/>
            </c:numRef>
          </c:val>
          <c:smooth val="0"/>
        </c:ser>
        <c:ser>
          <c:idx val="21"/>
          <c:order val="21"/>
          <c:tx>
            <c:strRef>
              <c:f>'Benchmark DATA'!$B$38</c:f>
            </c:strRef>
          </c:tx>
          <c:spPr>
            <a:ln cmpd="sng">
              <a:solidFill>
                <a:srgbClr val="EBF6EE"/>
              </a:solidFill>
            </a:ln>
          </c:spPr>
          <c:marker>
            <c:symbol val="none"/>
          </c:marker>
          <c:cat>
            <c:strRef>
              <c:f>('Benchmark DATA'!$R$16,'Benchmark DATA'!$X$16,'Benchmark DATA'!$AD$16,'Benchmark DATA'!$AJ$16)</c:f>
            </c:strRef>
          </c:cat>
          <c:val>
            <c:numRef>
              <c:f>('Benchmark DATA'!$R$38,'Benchmark DATA'!$X$38,'Benchmark DATA'!$AD$38,'Benchmark DATA'!$AJ$38)</c:f>
              <c:numCache/>
            </c:numRef>
          </c:val>
          <c:smooth val="0"/>
        </c:ser>
        <c:ser>
          <c:idx val="22"/>
          <c:order val="22"/>
          <c:tx>
            <c:strRef>
              <c:f>'Benchmark DATA'!$B$39</c:f>
            </c:strRef>
          </c:tx>
          <c:spPr>
            <a:ln cmpd="sng">
              <a:solidFill>
                <a:srgbClr val="FFF0E6"/>
              </a:solidFill>
            </a:ln>
          </c:spPr>
          <c:marker>
            <c:symbol val="none"/>
          </c:marker>
          <c:cat>
            <c:strRef>
              <c:f>('Benchmark DATA'!$R$16,'Benchmark DATA'!$X$16,'Benchmark DATA'!$AD$16,'Benchmark DATA'!$AJ$16)</c:f>
            </c:strRef>
          </c:cat>
          <c:val>
            <c:numRef>
              <c:f>('Benchmark DATA'!$R$39,'Benchmark DATA'!$X$39,'Benchmark DATA'!$AD$39,'Benchmark DATA'!$AJ$39)</c:f>
              <c:numCache/>
            </c:numRef>
          </c:val>
          <c:smooth val="0"/>
        </c:ser>
        <c:ser>
          <c:idx val="23"/>
          <c:order val="23"/>
          <c:tx>
            <c:strRef>
              <c:f>'Benchmark DATA'!$B$40</c:f>
            </c:strRef>
          </c:tx>
          <c:spPr>
            <a:ln cmpd="sng">
              <a:solidFill>
                <a:srgbClr val="EDF8F9"/>
              </a:solidFill>
            </a:ln>
          </c:spPr>
          <c:marker>
            <c:symbol val="none"/>
          </c:marker>
          <c:cat>
            <c:strRef>
              <c:f>('Benchmark DATA'!$R$16,'Benchmark DATA'!$X$16,'Benchmark DATA'!$AD$16,'Benchmark DATA'!$AJ$16)</c:f>
            </c:strRef>
          </c:cat>
          <c:val>
            <c:numRef>
              <c:f>('Benchmark DATA'!$R$40,'Benchmark DATA'!$X$40,'Benchmark DATA'!$AD$40,'Benchmark DATA'!$AJ$40)</c:f>
              <c:numCache/>
            </c:numRef>
          </c:val>
          <c:smooth val="0"/>
        </c:ser>
        <c:axId val="567338063"/>
        <c:axId val="976305403"/>
      </c:lineChart>
      <c:catAx>
        <c:axId val="567338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6305403"/>
      </c:catAx>
      <c:valAx>
        <c:axId val="9763054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73380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-O3 / MROR64 + OP_ASCON</c:v>
          </c:tx>
          <c:spPr>
            <a:solidFill>
              <a:srgbClr val="C9DAF8"/>
            </a:solidFill>
            <a:ln cmpd="sng">
              <a:solidFill>
                <a:srgbClr val="000000"/>
              </a:solidFill>
            </a:ln>
          </c:spPr>
          <c:cat>
            <c:strRef>
              <c:f>'Benchmark DATA'!$AO$88:$AO$91</c:f>
            </c:strRef>
          </c:cat>
          <c:val>
            <c:numRef>
              <c:f>'Benchmark DATA'!$BO$88:$BO$91</c:f>
              <c:numCache/>
            </c:numRef>
          </c:val>
        </c:ser>
        <c:ser>
          <c:idx val="1"/>
          <c:order val="1"/>
          <c:tx>
            <c:v>-O3 / MROR64 </c:v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cat>
            <c:strRef>
              <c:f>'Benchmark DATA'!$AO$88:$AO$91</c:f>
            </c:strRef>
          </c:cat>
          <c:val>
            <c:numRef>
              <c:f>'Benchmark DATA'!$AO$12:$AO$15</c:f>
              <c:numCache/>
            </c:numRef>
          </c:val>
        </c:ser>
        <c:ser>
          <c:idx val="2"/>
          <c:order val="2"/>
          <c:tx>
            <c:v>-O3 / Classic</c:v>
          </c:tx>
          <c:spPr>
            <a:solidFill>
              <a:srgbClr val="3C78D8"/>
            </a:solidFill>
            <a:ln cmpd="sng">
              <a:solidFill>
                <a:srgbClr val="000000"/>
              </a:solidFill>
            </a:ln>
          </c:spPr>
          <c:cat>
            <c:strRef>
              <c:f>'Benchmark DATA'!$AO$88:$AO$91</c:f>
            </c:strRef>
          </c:cat>
          <c:val>
            <c:numRef>
              <c:f>'Benchmark DATA'!$BO$12:$BO$15</c:f>
              <c:numCache/>
            </c:numRef>
          </c:val>
        </c:ser>
        <c:ser>
          <c:idx val="3"/>
          <c:order val="3"/>
          <c:tx>
            <c:v>-O2 / MROR64 + OP_ASCON</c:v>
          </c:tx>
          <c:spPr>
            <a:solidFill>
              <a:srgbClr val="F4CCCC"/>
            </a:solidFill>
            <a:ln cmpd="sng">
              <a:solidFill>
                <a:srgbClr val="000000"/>
              </a:solidFill>
            </a:ln>
          </c:spPr>
          <c:cat>
            <c:strRef>
              <c:f>'Benchmark DATA'!$AO$88:$AO$91</c:f>
            </c:strRef>
          </c:cat>
          <c:val>
            <c:numRef>
              <c:f>'Benchmark DATA'!$AO$18:$AO$21</c:f>
              <c:numCache/>
            </c:numRef>
          </c:val>
        </c:ser>
        <c:ser>
          <c:idx val="4"/>
          <c:order val="4"/>
          <c:tx>
            <c:v>-O2 / MROR64 </c:v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'Benchmark DATA'!$AO$88:$AO$91</c:f>
            </c:strRef>
          </c:cat>
          <c:val>
            <c:numRef>
              <c:f>'Benchmark DATA'!$BO$18:$BO$21</c:f>
              <c:numCache/>
            </c:numRef>
          </c:val>
        </c:ser>
        <c:ser>
          <c:idx val="5"/>
          <c:order val="5"/>
          <c:tx>
            <c:v>-O2 / Classic</c:v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cat>
            <c:strRef>
              <c:f>'Benchmark DATA'!$AO$88:$AO$91</c:f>
            </c:strRef>
          </c:cat>
          <c:val>
            <c:numRef>
              <c:f>'Benchmark DATA'!$AO$113:$AO$116</c:f>
              <c:numCache/>
            </c:numRef>
          </c:val>
        </c:ser>
        <c:ser>
          <c:idx val="6"/>
          <c:order val="6"/>
          <c:tx>
            <c:v>-O1 / MROR64 + OP_ASCON</c:v>
          </c:tx>
          <c:spPr>
            <a:solidFill>
              <a:srgbClr val="D9EAD3"/>
            </a:solidFill>
            <a:ln cmpd="sng">
              <a:solidFill>
                <a:srgbClr val="000000"/>
              </a:solidFill>
            </a:ln>
          </c:spPr>
          <c:cat>
            <c:strRef>
              <c:f>'Benchmark DATA'!$AO$88:$AO$91</c:f>
            </c:strRef>
          </c:cat>
          <c:val>
            <c:numRef>
              <c:f>'Benchmark DATA'!$BO$113:$BO$116</c:f>
              <c:numCache/>
            </c:numRef>
          </c:val>
        </c:ser>
        <c:ser>
          <c:idx val="7"/>
          <c:order val="7"/>
          <c:tx>
            <c:v>-O1 / MROR64 </c:v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'Benchmark DATA'!$AO$88:$AO$91</c:f>
            </c:strRef>
          </c:cat>
          <c:val>
            <c:numRef>
              <c:f>'Benchmark DATA'!$AO$37:$AO$40</c:f>
              <c:numCache/>
            </c:numRef>
          </c:val>
        </c:ser>
        <c:ser>
          <c:idx val="8"/>
          <c:order val="8"/>
          <c:tx>
            <c:v>-O1 / Classic</c:v>
          </c:tx>
          <c:spPr>
            <a:solidFill>
              <a:srgbClr val="6AA84F"/>
            </a:solidFill>
            <a:ln cmpd="sng">
              <a:solidFill>
                <a:srgbClr val="000000"/>
              </a:solidFill>
            </a:ln>
          </c:spPr>
          <c:cat>
            <c:strRef>
              <c:f>'Benchmark DATA'!$AO$88:$AO$91</c:f>
            </c:strRef>
          </c:cat>
          <c:val>
            <c:numRef>
              <c:f>'Benchmark DATA'!$BO$37:$BO$40</c:f>
              <c:numCache/>
            </c:numRef>
          </c:val>
        </c:ser>
        <c:ser>
          <c:idx val="9"/>
          <c:order val="9"/>
          <c:cat>
            <c:strRef>
              <c:f>'Benchmark DATA'!$AO$88:$AO$91</c:f>
            </c:strRef>
          </c:cat>
          <c:val>
            <c:numRef>
              <c:f>'Benchmark DATA'!$AO$43:$AO$46</c:f>
              <c:numCache/>
            </c:numRef>
          </c:val>
        </c:ser>
        <c:ser>
          <c:idx val="10"/>
          <c:order val="10"/>
          <c:cat>
            <c:strRef>
              <c:f>'Benchmark DATA'!$AO$88:$AO$91</c:f>
            </c:strRef>
          </c:cat>
          <c:val>
            <c:numRef>
              <c:f>'Benchmark DATA'!$BO$43:$BO$46</c:f>
              <c:numCache/>
            </c:numRef>
          </c:val>
        </c:ser>
        <c:ser>
          <c:idx val="11"/>
          <c:order val="11"/>
          <c:cat>
            <c:strRef>
              <c:f>'Benchmark DATA'!$AO$88:$AO$91</c:f>
            </c:strRef>
          </c:cat>
          <c:val>
            <c:numRef>
              <c:f>'Benchmark DATA'!$AO$138:$AO$141</c:f>
              <c:numCache/>
            </c:numRef>
          </c:val>
        </c:ser>
        <c:ser>
          <c:idx val="12"/>
          <c:order val="12"/>
          <c:cat>
            <c:strRef>
              <c:f>'Benchmark DATA'!$AO$88:$AO$91</c:f>
            </c:strRef>
          </c:cat>
          <c:val>
            <c:numRef>
              <c:f>'Benchmark DATA'!$BO$138:$BO$141</c:f>
              <c:numCache/>
            </c:numRef>
          </c:val>
        </c:ser>
        <c:ser>
          <c:idx val="13"/>
          <c:order val="13"/>
          <c:cat>
            <c:strRef>
              <c:f>'Benchmark DATA'!$AO$88:$AO$91</c:f>
            </c:strRef>
          </c:cat>
          <c:val>
            <c:numRef>
              <c:f>'Benchmark DATA'!$AO$62:$AO$65</c:f>
              <c:numCache/>
            </c:numRef>
          </c:val>
        </c:ser>
        <c:ser>
          <c:idx val="14"/>
          <c:order val="14"/>
          <c:cat>
            <c:strRef>
              <c:f>'Benchmark DATA'!$AO$88:$AO$91</c:f>
            </c:strRef>
          </c:cat>
          <c:val>
            <c:numRef>
              <c:f>'Benchmark DATA'!$BO$62:$BO$65</c:f>
              <c:numCache/>
            </c:numRef>
          </c:val>
        </c:ser>
        <c:ser>
          <c:idx val="15"/>
          <c:order val="15"/>
          <c:cat>
            <c:strRef>
              <c:f>'Benchmark DATA'!$AO$88:$AO$91</c:f>
            </c:strRef>
          </c:cat>
          <c:val>
            <c:numRef>
              <c:f>'Benchmark DATA'!$AO$68:$AO$71</c:f>
              <c:numCache/>
            </c:numRef>
          </c:val>
        </c:ser>
        <c:ser>
          <c:idx val="16"/>
          <c:order val="16"/>
          <c:cat>
            <c:strRef>
              <c:f>'Benchmark DATA'!$AO$88:$AO$91</c:f>
            </c:strRef>
          </c:cat>
          <c:val>
            <c:numRef>
              <c:f>'Benchmark DATA'!$BO$68:$BO$71</c:f>
              <c:numCache/>
            </c:numRef>
          </c:val>
        </c:ser>
        <c:axId val="1101099475"/>
        <c:axId val="1520098702"/>
      </c:barChart>
      <c:catAx>
        <c:axId val="11010994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500">
                <a:solidFill>
                  <a:srgbClr val="000000"/>
                </a:solidFill>
                <a:latin typeface="+mn-lt"/>
              </a:defRPr>
            </a:pPr>
          </a:p>
        </c:txPr>
        <c:crossAx val="1520098702"/>
      </c:catAx>
      <c:valAx>
        <c:axId val="15200987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1099475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-01 (MROR64)</c:v>
          </c:tx>
          <c:spPr>
            <a:solidFill>
              <a:srgbClr val="C9DAF8"/>
            </a:solidFill>
            <a:ln cmpd="sng">
              <a:solidFill>
                <a:srgbClr val="000000"/>
              </a:solidFill>
            </a:ln>
          </c:spPr>
          <c:cat>
            <c:strRef>
              <c:f>'Benchmark DATA'!$AO$168:$AO$171</c:f>
            </c:strRef>
          </c:cat>
          <c:val>
            <c:numRef>
              <c:f>'Benchmark DATA'!$AR$168:$AR$171</c:f>
              <c:numCache/>
            </c:numRef>
          </c:val>
        </c:ser>
        <c:ser>
          <c:idx val="1"/>
          <c:order val="1"/>
          <c:tx>
            <c:v>-01 (MROR64 + OP_ASCON)</c:v>
          </c:tx>
          <c:spPr>
            <a:solidFill>
              <a:srgbClr val="6D9EEB"/>
            </a:solidFill>
            <a:ln cmpd="sng">
              <a:solidFill>
                <a:srgbClr val="000000"/>
              </a:solidFill>
            </a:ln>
          </c:spPr>
          <c:cat>
            <c:strRef>
              <c:f>'Benchmark DATA'!$AO$168:$AO$171</c:f>
            </c:strRef>
          </c:cat>
          <c:val>
            <c:numRef>
              <c:f>'Benchmark DATA'!$AS$168:$AS$171</c:f>
              <c:numCache/>
            </c:numRef>
          </c:val>
        </c:ser>
        <c:ser>
          <c:idx val="2"/>
          <c:order val="2"/>
          <c:tx>
            <c:v>-02 (MROR64)</c:v>
          </c:tx>
          <c:spPr>
            <a:solidFill>
              <a:srgbClr val="F4CCCC"/>
            </a:solidFill>
            <a:ln cmpd="sng">
              <a:solidFill>
                <a:srgbClr val="000000"/>
              </a:solidFill>
            </a:ln>
          </c:spPr>
          <c:cat>
            <c:strRef>
              <c:f>'Benchmark DATA'!$AO$168:$AO$171</c:f>
            </c:strRef>
          </c:cat>
          <c:val>
            <c:numRef>
              <c:f>'Benchmark DATA'!$AT$168:$AT$171</c:f>
              <c:numCache/>
            </c:numRef>
          </c:val>
        </c:ser>
        <c:ser>
          <c:idx val="3"/>
          <c:order val="3"/>
          <c:tx>
            <c:v>-02 (MROR64 + OP_ASCON)</c:v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'Benchmark DATA'!$AO$168:$AO$171</c:f>
            </c:strRef>
          </c:cat>
          <c:val>
            <c:numRef>
              <c:f>'Benchmark DATA'!$AU$168:$AU$171</c:f>
              <c:numCache/>
            </c:numRef>
          </c:val>
        </c:ser>
        <c:ser>
          <c:idx val="4"/>
          <c:order val="4"/>
          <c:tx>
            <c:v>-03 (MROR64)</c:v>
          </c:tx>
          <c:spPr>
            <a:solidFill>
              <a:srgbClr val="D9EAD3"/>
            </a:solidFill>
            <a:ln cmpd="sng">
              <a:solidFill>
                <a:srgbClr val="000000"/>
              </a:solidFill>
            </a:ln>
          </c:spPr>
          <c:cat>
            <c:strRef>
              <c:f>'Benchmark DATA'!$AO$168:$AO$171</c:f>
            </c:strRef>
          </c:cat>
          <c:val>
            <c:numRef>
              <c:f>'Benchmark DATA'!$AV$168:$AV$171</c:f>
              <c:numCache/>
            </c:numRef>
          </c:val>
        </c:ser>
        <c:ser>
          <c:idx val="5"/>
          <c:order val="5"/>
          <c:tx>
            <c:v>-03 (MROR64 + OP_ASCON)</c:v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'Benchmark DATA'!$AO$168:$AO$171</c:f>
            </c:strRef>
          </c:cat>
          <c:val>
            <c:numRef>
              <c:f>'Benchmark DATA'!$AW$168:$AW$171</c:f>
              <c:numCache/>
            </c:numRef>
          </c:val>
        </c:ser>
        <c:axId val="1245989288"/>
        <c:axId val="627696792"/>
      </c:barChart>
      <c:catAx>
        <c:axId val="12459892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627696792"/>
      </c:catAx>
      <c:valAx>
        <c:axId val="6276967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5989288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legendEntry>
        <c:idx val="2"/>
        <c:txPr>
          <a:bodyPr/>
          <a:lstStyle/>
          <a:p>
            <a:pPr lvl="0">
              <a:defRPr b="1"/>
            </a:pPr>
          </a:p>
        </c:txPr>
      </c:legendEntry>
      <c:legendEntry>
        <c:idx val="3"/>
        <c:txPr>
          <a:bodyPr/>
          <a:lstStyle/>
          <a:p>
            <a:pPr lvl="0">
              <a:defRPr b="1"/>
            </a:pPr>
          </a:p>
        </c:txPr>
      </c:legendEntry>
      <c:legendEntry>
        <c:idx val="4"/>
        <c:txPr>
          <a:bodyPr/>
          <a:lstStyle/>
          <a:p>
            <a:pPr lvl="0">
              <a:defRPr b="1"/>
            </a:pPr>
          </a:p>
        </c:txPr>
      </c:legendEntry>
      <c:legendEntry>
        <c:idx val="5"/>
        <c:txPr>
          <a:bodyPr/>
          <a:lstStyle/>
          <a:p>
            <a:pPr lvl="0">
              <a:defRPr b="1"/>
            </a:pPr>
          </a:p>
        </c:txPr>
      </c:legendEntry>
      <c:layout>
        <c:manualLayout>
          <c:xMode val="edge"/>
          <c:yMode val="edge"/>
          <c:x val="0.8004887137052134"/>
          <c:y val="0.05426136363636364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-O1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'Benchmark DATA'!$AO$253:$AO$254</c:f>
            </c:strRef>
          </c:cat>
          <c:val>
            <c:numRef>
              <c:f>'Benchmark DATA'!$AS$253:$AS$254</c:f>
              <c:numCache/>
            </c:numRef>
          </c:val>
        </c:ser>
        <c:ser>
          <c:idx val="1"/>
          <c:order val="1"/>
          <c:tx>
            <c:v>-O2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'Benchmark DATA'!$AO$253:$AO$254</c:f>
            </c:strRef>
          </c:cat>
          <c:val>
            <c:numRef>
              <c:f>'Benchmark DATA'!$AU$253:$AU$254</c:f>
              <c:numCache/>
            </c:numRef>
          </c:val>
        </c:ser>
        <c:ser>
          <c:idx val="2"/>
          <c:order val="2"/>
          <c:tx>
            <c:v>-O3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'Benchmark DATA'!$AO$253:$AO$254</c:f>
            </c:strRef>
          </c:cat>
          <c:val>
            <c:numRef>
              <c:f>'Benchmark DATA'!$AW$253:$AW$254</c:f>
              <c:numCache/>
            </c:numRef>
          </c:val>
        </c:ser>
        <c:axId val="823455046"/>
        <c:axId val="1484492716"/>
      </c:barChart>
      <c:catAx>
        <c:axId val="82345504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4492716"/>
      </c:catAx>
      <c:valAx>
        <c:axId val="14844927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3455046"/>
      </c:valAx>
    </c:plotArea>
    <c:legend>
      <c:legendPos val="r"/>
      <c:legendEntry>
        <c:idx val="0"/>
        <c:txPr>
          <a:bodyPr/>
          <a:lstStyle/>
          <a:p>
            <a:pPr lvl="0">
              <a:defRPr b="1"/>
            </a:pPr>
          </a:p>
        </c:txPr>
      </c:legendEntry>
      <c:legendEntry>
        <c:idx val="1"/>
        <c:txPr>
          <a:bodyPr/>
          <a:lstStyle/>
          <a:p>
            <a:pPr lvl="0">
              <a:defRPr b="1"/>
            </a:pPr>
          </a:p>
        </c:txPr>
      </c:legendEntry>
      <c:legendEntry>
        <c:idx val="2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128 bits AES Encrypt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'AES Study'!$D$41:$D$65</c:f>
            </c:strRef>
          </c:cat>
          <c:val>
            <c:numRef>
              <c:f>'AES Study'!$E$41:$E$65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28575</xdr:colOff>
      <xdr:row>52</xdr:row>
      <xdr:rowOff>76200</xdr:rowOff>
    </xdr:from>
    <xdr:ext cx="12487275" cy="7724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18</xdr:col>
      <xdr:colOff>609600</xdr:colOff>
      <xdr:row>50</xdr:row>
      <xdr:rowOff>104775</xdr:rowOff>
    </xdr:from>
    <xdr:ext cx="10220325" cy="6305550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66</xdr:col>
      <xdr:colOff>238125</xdr:colOff>
      <xdr:row>81</xdr:row>
      <xdr:rowOff>57150</xdr:rowOff>
    </xdr:from>
    <xdr:ext cx="10134600" cy="6305550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53</xdr:col>
      <xdr:colOff>581025</xdr:colOff>
      <xdr:row>153</xdr:row>
      <xdr:rowOff>114300</xdr:rowOff>
    </xdr:from>
    <xdr:ext cx="11020425" cy="6248400"/>
    <xdr:graphicFrame>
      <xdr:nvGraphicFramePr>
        <xdr:cNvPr id="4" name="Chart 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55</xdr:col>
      <xdr:colOff>523875</xdr:colOff>
      <xdr:row>246</xdr:row>
      <xdr:rowOff>200025</xdr:rowOff>
    </xdr:from>
    <xdr:ext cx="10944225" cy="6791325"/>
    <xdr:graphicFrame>
      <xdr:nvGraphicFramePr>
        <xdr:cNvPr id="5" name="Chart 5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2543175</xdr:colOff>
      <xdr:row>69</xdr:row>
      <xdr:rowOff>190500</xdr:rowOff>
    </xdr:from>
    <xdr:ext cx="12639675" cy="7820025"/>
    <xdr:graphicFrame>
      <xdr:nvGraphicFramePr>
        <xdr:cNvPr id="6" name="Chart 6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  <col customWidth="1" min="3" max="3" width="36.25"/>
    <col customWidth="1" min="6" max="7" width="16.0"/>
    <col customWidth="1" min="8" max="10" width="17.25"/>
    <col customWidth="1" min="11" max="11" width="18.63"/>
    <col customWidth="1" min="12" max="12" width="17.25"/>
    <col customWidth="1" min="13" max="13" width="15.88"/>
    <col customWidth="1" min="14" max="14" width="15.63"/>
    <col customWidth="1" min="15" max="15" width="17.38"/>
    <col customWidth="1" min="16" max="17" width="16.5"/>
    <col customWidth="1" min="18" max="18" width="14.0"/>
    <col customWidth="1" min="41" max="41" width="19.13"/>
    <col customWidth="1" min="77" max="77" width="18.75"/>
  </cols>
  <sheetData>
    <row r="2">
      <c r="Q2" s="1"/>
    </row>
    <row r="3">
      <c r="Q3" s="2"/>
      <c r="R3" s="2"/>
      <c r="S3" s="2"/>
      <c r="T3" s="2"/>
    </row>
    <row r="4">
      <c r="O4" s="3"/>
      <c r="P4" s="3"/>
      <c r="Q4" s="4"/>
      <c r="R4" s="4"/>
      <c r="S4" s="4"/>
      <c r="T4" s="4"/>
    </row>
    <row r="5">
      <c r="O5" s="3"/>
      <c r="P5" s="3"/>
      <c r="Q5" s="4"/>
      <c r="R5" s="4"/>
      <c r="S5" s="4"/>
      <c r="T5" s="4"/>
    </row>
    <row r="6">
      <c r="O6" s="3"/>
      <c r="P6" s="3"/>
      <c r="Q6" s="4"/>
      <c r="R6" s="4"/>
      <c r="S6" s="4"/>
      <c r="T6" s="4"/>
    </row>
    <row r="7">
      <c r="O7" s="3"/>
      <c r="P7" s="3"/>
      <c r="Q7" s="4"/>
      <c r="R7" s="4"/>
      <c r="S7" s="4"/>
      <c r="T7" s="4"/>
    </row>
    <row r="8">
      <c r="AR8" s="5" t="s">
        <v>0</v>
      </c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7"/>
      <c r="CB8" s="8" t="s">
        <v>0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7"/>
    </row>
    <row r="9">
      <c r="AR9" s="9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1"/>
      <c r="CB9" s="9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1"/>
    </row>
    <row r="10">
      <c r="M10" s="2"/>
      <c r="S10" s="2"/>
      <c r="Y10" s="2"/>
      <c r="AE10" s="2"/>
      <c r="AR10" s="12" t="s">
        <v>1</v>
      </c>
      <c r="AS10" s="13"/>
      <c r="AT10" s="13"/>
      <c r="AU10" s="13"/>
      <c r="AV10" s="13"/>
      <c r="AW10" s="14"/>
      <c r="AX10" s="12" t="s">
        <v>2</v>
      </c>
      <c r="AY10" s="13"/>
      <c r="AZ10" s="13"/>
      <c r="BA10" s="13"/>
      <c r="BB10" s="13"/>
      <c r="BC10" s="14"/>
      <c r="BD10" s="12" t="s">
        <v>3</v>
      </c>
      <c r="BE10" s="13"/>
      <c r="BF10" s="13"/>
      <c r="BG10" s="13"/>
      <c r="BH10" s="13"/>
      <c r="BI10" s="14"/>
      <c r="BJ10" s="12" t="s">
        <v>4</v>
      </c>
      <c r="BK10" s="13"/>
      <c r="BL10" s="13"/>
      <c r="BM10" s="13"/>
      <c r="BN10" s="13"/>
      <c r="BO10" s="14"/>
      <c r="BP10" s="2"/>
      <c r="BV10" s="2"/>
      <c r="BW10" s="2"/>
      <c r="BX10" s="2"/>
      <c r="CB10" s="12" t="s">
        <v>5</v>
      </c>
      <c r="CC10" s="13"/>
      <c r="CD10" s="13"/>
      <c r="CE10" s="13"/>
      <c r="CF10" s="13"/>
      <c r="CG10" s="14"/>
      <c r="CH10" s="12" t="s">
        <v>6</v>
      </c>
      <c r="CI10" s="13"/>
      <c r="CJ10" s="13"/>
      <c r="CK10" s="13"/>
      <c r="CL10" s="13"/>
      <c r="CM10" s="14"/>
      <c r="CN10" s="12" t="s">
        <v>7</v>
      </c>
      <c r="CO10" s="13"/>
      <c r="CP10" s="13"/>
      <c r="CQ10" s="13"/>
      <c r="CR10" s="13"/>
      <c r="CS10" s="14"/>
      <c r="CT10" s="12" t="s">
        <v>8</v>
      </c>
      <c r="CU10" s="13"/>
      <c r="CV10" s="13"/>
      <c r="CW10" s="13"/>
      <c r="CX10" s="13"/>
      <c r="CY10" s="14"/>
      <c r="CZ10" s="12" t="s">
        <v>9</v>
      </c>
      <c r="DA10" s="13"/>
      <c r="DB10" s="13"/>
      <c r="DC10" s="13"/>
      <c r="DD10" s="13"/>
      <c r="DE10" s="14"/>
    </row>
    <row r="11"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R11" s="15" t="s">
        <v>10</v>
      </c>
      <c r="AS11" s="15" t="s">
        <v>11</v>
      </c>
      <c r="AT11" s="15" t="s">
        <v>12</v>
      </c>
      <c r="AU11" s="15" t="s">
        <v>13</v>
      </c>
      <c r="AV11" s="15" t="s">
        <v>14</v>
      </c>
      <c r="AW11" s="16" t="s">
        <v>15</v>
      </c>
      <c r="AX11" s="15" t="s">
        <v>10</v>
      </c>
      <c r="AY11" s="15" t="s">
        <v>11</v>
      </c>
      <c r="AZ11" s="15" t="s">
        <v>12</v>
      </c>
      <c r="BA11" s="15" t="s">
        <v>13</v>
      </c>
      <c r="BB11" s="15" t="s">
        <v>14</v>
      </c>
      <c r="BC11" s="16" t="s">
        <v>15</v>
      </c>
      <c r="BD11" s="15" t="s">
        <v>10</v>
      </c>
      <c r="BE11" s="15" t="s">
        <v>11</v>
      </c>
      <c r="BF11" s="15" t="s">
        <v>12</v>
      </c>
      <c r="BG11" s="15" t="s">
        <v>13</v>
      </c>
      <c r="BH11" s="15" t="s">
        <v>14</v>
      </c>
      <c r="BI11" s="16" t="s">
        <v>15</v>
      </c>
      <c r="BJ11" s="15" t="s">
        <v>10</v>
      </c>
      <c r="BK11" s="15" t="s">
        <v>11</v>
      </c>
      <c r="BL11" s="15" t="s">
        <v>12</v>
      </c>
      <c r="BM11" s="15" t="s">
        <v>13</v>
      </c>
      <c r="BN11" s="15" t="s">
        <v>14</v>
      </c>
      <c r="BO11" s="16" t="s">
        <v>15</v>
      </c>
      <c r="BP11" s="2"/>
      <c r="BQ11" s="2"/>
      <c r="BR11" s="2"/>
      <c r="BS11" s="2"/>
      <c r="BT11" s="2"/>
      <c r="BU11" s="2"/>
      <c r="BV11" s="2"/>
      <c r="BW11" s="2"/>
      <c r="BX11" s="2"/>
      <c r="CB11" s="15" t="s">
        <v>10</v>
      </c>
      <c r="CC11" s="15" t="s">
        <v>11</v>
      </c>
      <c r="CD11" s="15" t="s">
        <v>12</v>
      </c>
      <c r="CE11" s="15" t="s">
        <v>13</v>
      </c>
      <c r="CF11" s="15" t="s">
        <v>14</v>
      </c>
      <c r="CG11" s="16" t="s">
        <v>15</v>
      </c>
      <c r="CH11" s="15" t="s">
        <v>10</v>
      </c>
      <c r="CI11" s="15" t="s">
        <v>11</v>
      </c>
      <c r="CJ11" s="15" t="s">
        <v>12</v>
      </c>
      <c r="CK11" s="15" t="s">
        <v>13</v>
      </c>
      <c r="CL11" s="15" t="s">
        <v>14</v>
      </c>
      <c r="CM11" s="16" t="s">
        <v>15</v>
      </c>
      <c r="CN11" s="15" t="s">
        <v>10</v>
      </c>
      <c r="CO11" s="15" t="s">
        <v>11</v>
      </c>
      <c r="CP11" s="15" t="s">
        <v>12</v>
      </c>
      <c r="CQ11" s="15" t="s">
        <v>13</v>
      </c>
      <c r="CR11" s="15" t="s">
        <v>14</v>
      </c>
      <c r="CS11" s="16" t="s">
        <v>15</v>
      </c>
      <c r="CT11" s="15" t="s">
        <v>10</v>
      </c>
      <c r="CU11" s="15" t="s">
        <v>11</v>
      </c>
      <c r="CV11" s="15" t="s">
        <v>12</v>
      </c>
      <c r="CW11" s="15" t="s">
        <v>13</v>
      </c>
      <c r="CX11" s="15" t="s">
        <v>14</v>
      </c>
      <c r="CY11" s="16" t="s">
        <v>15</v>
      </c>
      <c r="CZ11" s="15" t="s">
        <v>10</v>
      </c>
      <c r="DA11" s="15" t="s">
        <v>11</v>
      </c>
      <c r="DB11" s="15" t="s">
        <v>12</v>
      </c>
      <c r="DC11" s="15" t="s">
        <v>13</v>
      </c>
      <c r="DD11" s="15" t="s">
        <v>14</v>
      </c>
      <c r="DE11" s="16" t="s">
        <v>15</v>
      </c>
    </row>
    <row r="12">
      <c r="K12" s="3"/>
      <c r="L12" s="3"/>
      <c r="M12" s="3"/>
      <c r="O12" s="3"/>
      <c r="P12" s="3"/>
      <c r="S12" s="3"/>
      <c r="U12" s="3"/>
      <c r="V12" s="3"/>
      <c r="AO12" s="17" t="s">
        <v>16</v>
      </c>
      <c r="AP12" s="18" t="s">
        <v>17</v>
      </c>
      <c r="AQ12" s="18">
        <v>64.0</v>
      </c>
      <c r="AR12" s="17">
        <v>9767.0</v>
      </c>
      <c r="AS12" s="19">
        <f>1392034/100</f>
        <v>13920.34</v>
      </c>
      <c r="AT12" s="17">
        <v>13900.0</v>
      </c>
      <c r="AU12" s="17">
        <v>14919.0</v>
      </c>
      <c r="AV12" s="19">
        <f t="shared" ref="AV12:AV15" si="1">AR12/(10*AQ12)</f>
        <v>15.2609375</v>
      </c>
      <c r="AW12" s="20">
        <f t="shared" ref="AW12:AW15" si="2">AS12/(10*AQ12)</f>
        <v>21.75053125</v>
      </c>
      <c r="AX12" s="17">
        <v>22937.0</v>
      </c>
      <c r="AY12" s="19">
        <f>3134375/100</f>
        <v>31343.75</v>
      </c>
      <c r="AZ12" s="17">
        <v>31293.0</v>
      </c>
      <c r="BA12" s="17">
        <v>32426.0</v>
      </c>
      <c r="BB12" s="19">
        <f t="shared" ref="BB12:BB15" si="3">AX12/(40*AQ12)</f>
        <v>8.959765625</v>
      </c>
      <c r="BC12" s="20">
        <f t="shared" ref="BC12:BC15" si="4">AY12/(40*AQ12)</f>
        <v>12.24365234</v>
      </c>
      <c r="BD12" s="17">
        <v>40497.0</v>
      </c>
      <c r="BE12" s="19">
        <f>5438653/100</f>
        <v>54386.53</v>
      </c>
      <c r="BF12" s="17">
        <v>54366.0</v>
      </c>
      <c r="BG12" s="17">
        <v>55771.0</v>
      </c>
      <c r="BH12" s="19">
        <f t="shared" ref="BH12:BH15" si="5">BD12/(80*AQ12)</f>
        <v>7.909570313</v>
      </c>
      <c r="BI12" s="20">
        <f t="shared" ref="BI12:BI15" si="6">BE12/(80*AQ12)</f>
        <v>10.62236914</v>
      </c>
      <c r="BJ12" s="17">
        <v>49277.0</v>
      </c>
      <c r="BK12" s="19">
        <f>6596004/100</f>
        <v>65960.04</v>
      </c>
      <c r="BL12" s="17">
        <v>65935.0</v>
      </c>
      <c r="BM12" s="17">
        <v>67470.0</v>
      </c>
      <c r="BN12" s="19">
        <f t="shared" ref="BN12:BN15" si="7">BJ12/(100*AQ12)</f>
        <v>7.69953125</v>
      </c>
      <c r="BO12" s="20">
        <f t="shared" ref="BO12:BO15" si="8">BK12/(100*AQ12)</f>
        <v>10.30625625</v>
      </c>
      <c r="BP12" s="3"/>
      <c r="BR12" s="3"/>
      <c r="BS12" s="3"/>
      <c r="BY12" s="17" t="s">
        <v>16</v>
      </c>
      <c r="BZ12" s="18" t="s">
        <v>17</v>
      </c>
      <c r="CA12" s="18">
        <v>64.0</v>
      </c>
      <c r="CB12" s="17">
        <v>13549.0</v>
      </c>
      <c r="CC12" s="19">
        <f>1722947/100</f>
        <v>17229.47</v>
      </c>
      <c r="CD12" s="17">
        <v>17210.0</v>
      </c>
      <c r="CE12" s="17">
        <v>18445.0</v>
      </c>
      <c r="CF12" s="19">
        <f t="shared" ref="CF12:CF15" si="9">CB12/(10*CA12)</f>
        <v>21.1703125</v>
      </c>
      <c r="CG12" s="20">
        <f t="shared" ref="CG12:CG15" si="10">CC12/(10*CA12)</f>
        <v>26.92104688</v>
      </c>
      <c r="CH12" s="17">
        <v>33715.0</v>
      </c>
      <c r="CI12" s="19">
        <f>4574993/100</f>
        <v>45749.93</v>
      </c>
      <c r="CJ12" s="17">
        <v>45704.0</v>
      </c>
      <c r="CK12" s="17">
        <v>46960.0</v>
      </c>
      <c r="CL12" s="19">
        <f t="shared" ref="CL12:CL15" si="11">CH12/(40*CA12)</f>
        <v>13.16992188</v>
      </c>
      <c r="CM12" s="20">
        <f t="shared" ref="CM12:CM15" si="12">CI12/(40*CA12)</f>
        <v>17.87106641</v>
      </c>
      <c r="CN12" s="17">
        <v>60595.0</v>
      </c>
      <c r="CO12" s="19">
        <f>8365142/100</f>
        <v>83651.42</v>
      </c>
      <c r="CP12" s="17">
        <v>83594.0</v>
      </c>
      <c r="CQ12" s="17">
        <v>84971.0</v>
      </c>
      <c r="CR12" s="19">
        <f t="shared" ref="CR12:CR15" si="13">CN12/(80*CA12)</f>
        <v>11.83496094</v>
      </c>
      <c r="CS12" s="20">
        <f t="shared" ref="CS12:CS15" si="14">CO12/(80*CA12)</f>
        <v>16.33816797</v>
      </c>
      <c r="CT12" s="17">
        <v>74035.0</v>
      </c>
      <c r="CU12" s="19">
        <f>10260300/100</f>
        <v>102603</v>
      </c>
      <c r="CV12" s="17">
        <v>102540.0</v>
      </c>
      <c r="CW12" s="17">
        <v>104011.0</v>
      </c>
      <c r="CX12" s="19">
        <f t="shared" ref="CX12:CX15" si="15">CT12/(100*CA12)</f>
        <v>11.56796875</v>
      </c>
      <c r="CY12" s="20">
        <f t="shared" ref="CY12:CY15" si="16">CU12/(100*CA12)</f>
        <v>16.03171875</v>
      </c>
      <c r="CZ12" s="17">
        <v>342835.0</v>
      </c>
      <c r="DA12" s="19">
        <f>48169554/100</f>
        <v>481695.54</v>
      </c>
      <c r="DB12" s="17">
        <v>481577.0</v>
      </c>
      <c r="DC12" s="17">
        <v>483923.0</v>
      </c>
      <c r="DD12" s="19">
        <f t="shared" ref="DD12:DD15" si="17">CZ12/(500*CA12)</f>
        <v>10.71359375</v>
      </c>
      <c r="DE12" s="20">
        <f t="shared" ref="DE12:DE15" si="18">DA12/(500*CA12)</f>
        <v>15.05298563</v>
      </c>
    </row>
    <row r="13">
      <c r="K13" s="3"/>
      <c r="L13" s="3"/>
      <c r="M13" s="3"/>
      <c r="O13" s="3"/>
      <c r="P13" s="3"/>
      <c r="S13" s="3"/>
      <c r="U13" s="3"/>
      <c r="V13" s="3"/>
      <c r="AO13" s="17" t="s">
        <v>18</v>
      </c>
      <c r="AP13" s="18" t="s">
        <v>17</v>
      </c>
      <c r="AQ13" s="18">
        <v>64.0</v>
      </c>
      <c r="AR13" s="17">
        <v>9747.0</v>
      </c>
      <c r="AS13" s="19">
        <f>1389484/100</f>
        <v>13894.84</v>
      </c>
      <c r="AT13" s="17">
        <v>13884.0</v>
      </c>
      <c r="AU13" s="17">
        <v>14708.0</v>
      </c>
      <c r="AV13" s="19">
        <f t="shared" si="1"/>
        <v>15.2296875</v>
      </c>
      <c r="AW13" s="20">
        <f t="shared" si="2"/>
        <v>21.7106875</v>
      </c>
      <c r="AX13" s="17">
        <v>22857.0</v>
      </c>
      <c r="AY13" s="19">
        <f>3124405/100</f>
        <v>31244.05</v>
      </c>
      <c r="AZ13" s="17">
        <v>31207.0</v>
      </c>
      <c r="BA13" s="17">
        <v>32196.0</v>
      </c>
      <c r="BB13" s="19">
        <f t="shared" si="3"/>
        <v>8.928515625</v>
      </c>
      <c r="BC13" s="20">
        <f t="shared" si="4"/>
        <v>12.20470703</v>
      </c>
      <c r="BD13" s="17">
        <v>40337.0</v>
      </c>
      <c r="BE13" s="19">
        <f>5428920/100</f>
        <v>54289.2</v>
      </c>
      <c r="BF13" s="17">
        <v>54275.0</v>
      </c>
      <c r="BG13" s="17">
        <v>55435.0</v>
      </c>
      <c r="BH13" s="19">
        <f t="shared" si="5"/>
        <v>7.878320313</v>
      </c>
      <c r="BI13" s="20">
        <f t="shared" si="6"/>
        <v>10.60335938</v>
      </c>
      <c r="BJ13" s="17">
        <v>49077.0</v>
      </c>
      <c r="BK13" s="19">
        <f>6583148/100</f>
        <v>65831.48</v>
      </c>
      <c r="BL13" s="17">
        <v>65815.0</v>
      </c>
      <c r="BM13" s="17">
        <v>67194.0</v>
      </c>
      <c r="BN13" s="19">
        <f t="shared" si="7"/>
        <v>7.66828125</v>
      </c>
      <c r="BO13" s="20">
        <f t="shared" si="8"/>
        <v>10.28616875</v>
      </c>
      <c r="BP13" s="3"/>
      <c r="BR13" s="3"/>
      <c r="BS13" s="3"/>
      <c r="BY13" s="17" t="s">
        <v>18</v>
      </c>
      <c r="BZ13" s="18" t="s">
        <v>17</v>
      </c>
      <c r="CA13" s="18">
        <v>64.0</v>
      </c>
      <c r="CB13" s="17">
        <v>13520.0</v>
      </c>
      <c r="CC13" s="19">
        <f>1718481/100</f>
        <v>17184.81</v>
      </c>
      <c r="CD13" s="17">
        <v>17175.0</v>
      </c>
      <c r="CE13" s="17">
        <v>17979.0</v>
      </c>
      <c r="CF13" s="19">
        <f t="shared" si="9"/>
        <v>21.125</v>
      </c>
      <c r="CG13" s="20">
        <f t="shared" si="10"/>
        <v>26.85126563</v>
      </c>
      <c r="CH13" s="17">
        <v>33746.0</v>
      </c>
      <c r="CI13" s="19">
        <f>4565133/100</f>
        <v>45651.33</v>
      </c>
      <c r="CJ13" s="17">
        <v>45626.0</v>
      </c>
      <c r="CK13" s="17">
        <v>46580.0</v>
      </c>
      <c r="CL13" s="19">
        <f t="shared" si="11"/>
        <v>13.18203125</v>
      </c>
      <c r="CM13" s="20">
        <f t="shared" si="12"/>
        <v>17.83255078</v>
      </c>
      <c r="CN13" s="17">
        <v>60706.0</v>
      </c>
      <c r="CO13" s="19">
        <f>8359305/100</f>
        <v>83593.05</v>
      </c>
      <c r="CP13" s="17">
        <v>83552.0</v>
      </c>
      <c r="CQ13" s="17">
        <v>84592.0</v>
      </c>
      <c r="CR13" s="19">
        <f t="shared" si="13"/>
        <v>11.85664063</v>
      </c>
      <c r="CS13" s="20">
        <f t="shared" si="14"/>
        <v>16.32676758</v>
      </c>
      <c r="CT13" s="17">
        <v>74186.0</v>
      </c>
      <c r="CU13" s="19">
        <f>10255920/100</f>
        <v>102559.2</v>
      </c>
      <c r="CV13" s="17">
        <v>102521.0</v>
      </c>
      <c r="CW13" s="17">
        <v>103583.0</v>
      </c>
      <c r="CX13" s="19">
        <f t="shared" si="15"/>
        <v>11.5915625</v>
      </c>
      <c r="CY13" s="20">
        <f t="shared" si="16"/>
        <v>16.024875</v>
      </c>
      <c r="CZ13" s="17">
        <v>343786.0</v>
      </c>
      <c r="DA13" s="19">
        <f>48209917/100</f>
        <v>482099.17</v>
      </c>
      <c r="DB13" s="17">
        <v>482002.0</v>
      </c>
      <c r="DC13" s="17">
        <v>483739.0</v>
      </c>
      <c r="DD13" s="19">
        <f t="shared" si="17"/>
        <v>10.7433125</v>
      </c>
      <c r="DE13" s="20">
        <f t="shared" si="18"/>
        <v>15.06559906</v>
      </c>
    </row>
    <row r="14">
      <c r="K14" s="3"/>
      <c r="L14" s="3"/>
      <c r="M14" s="3"/>
      <c r="O14" s="3"/>
      <c r="P14" s="3"/>
      <c r="S14" s="3"/>
      <c r="U14" s="3"/>
      <c r="V14" s="3"/>
      <c r="AO14" s="17" t="s">
        <v>19</v>
      </c>
      <c r="AP14" s="18" t="s">
        <v>17</v>
      </c>
      <c r="AQ14" s="18">
        <v>128.0</v>
      </c>
      <c r="AR14" s="17">
        <v>9966.0</v>
      </c>
      <c r="AS14" s="19">
        <f>1434083/100</f>
        <v>14340.83</v>
      </c>
      <c r="AT14" s="17">
        <v>14325.0</v>
      </c>
      <c r="AU14" s="17">
        <v>15303.0</v>
      </c>
      <c r="AV14" s="19">
        <f t="shared" si="1"/>
        <v>7.7859375</v>
      </c>
      <c r="AW14" s="20">
        <f t="shared" si="2"/>
        <v>11.20377344</v>
      </c>
      <c r="AX14" s="17">
        <v>29046.0</v>
      </c>
      <c r="AY14" s="19">
        <f>4305747/100</f>
        <v>43057.47</v>
      </c>
      <c r="AZ14" s="17">
        <v>43039.0</v>
      </c>
      <c r="BA14" s="17">
        <v>44225.0</v>
      </c>
      <c r="BB14" s="19">
        <f t="shared" si="3"/>
        <v>5.673046875</v>
      </c>
      <c r="BC14" s="20">
        <f t="shared" si="4"/>
        <v>8.409662109</v>
      </c>
      <c r="BD14" s="17">
        <v>54486.0</v>
      </c>
      <c r="BE14" s="19">
        <f>8133909/100</f>
        <v>81339.09</v>
      </c>
      <c r="BF14" s="17">
        <v>81316.0</v>
      </c>
      <c r="BG14" s="17">
        <v>82719.0</v>
      </c>
      <c r="BH14" s="19">
        <f t="shared" si="5"/>
        <v>5.320898438</v>
      </c>
      <c r="BI14" s="20">
        <f t="shared" si="6"/>
        <v>7.943270508</v>
      </c>
      <c r="BJ14" s="17">
        <v>67206.0</v>
      </c>
      <c r="BK14" s="19">
        <f>10047993/100</f>
        <v>100479.93</v>
      </c>
      <c r="BL14" s="17">
        <v>100456.0</v>
      </c>
      <c r="BM14" s="17">
        <v>102070.0</v>
      </c>
      <c r="BN14" s="19">
        <f t="shared" si="7"/>
        <v>5.25046875</v>
      </c>
      <c r="BO14" s="20">
        <f t="shared" si="8"/>
        <v>7.849994531</v>
      </c>
      <c r="BP14" s="3"/>
      <c r="BR14" s="3"/>
      <c r="BS14" s="3"/>
      <c r="BY14" s="17" t="s">
        <v>19</v>
      </c>
      <c r="BZ14" s="18" t="s">
        <v>17</v>
      </c>
      <c r="CA14" s="18">
        <v>128.0</v>
      </c>
      <c r="CB14" s="17">
        <v>13821.0</v>
      </c>
      <c r="CC14" s="19">
        <f>1846346/100</f>
        <v>18463.46</v>
      </c>
      <c r="CD14" s="17">
        <v>18405.0</v>
      </c>
      <c r="CE14" s="17">
        <v>19257.0</v>
      </c>
      <c r="CF14" s="19">
        <f t="shared" si="9"/>
        <v>10.79765625</v>
      </c>
      <c r="CG14" s="20">
        <f t="shared" si="10"/>
        <v>14.42457813</v>
      </c>
      <c r="CH14" s="17">
        <v>40311.0</v>
      </c>
      <c r="CI14" s="19">
        <f>5551510/100</f>
        <v>55515.1</v>
      </c>
      <c r="CJ14" s="17">
        <v>55450.0</v>
      </c>
      <c r="CK14" s="17">
        <v>56483.0</v>
      </c>
      <c r="CL14" s="19">
        <f t="shared" si="11"/>
        <v>7.873242188</v>
      </c>
      <c r="CM14" s="20">
        <f t="shared" si="12"/>
        <v>10.84279297</v>
      </c>
      <c r="CN14" s="17">
        <v>75631.0</v>
      </c>
      <c r="CO14" s="19">
        <f>10503797/100</f>
        <v>105037.97</v>
      </c>
      <c r="CP14" s="17">
        <v>104957.0</v>
      </c>
      <c r="CQ14" s="17">
        <v>106215.0</v>
      </c>
      <c r="CR14" s="19">
        <f t="shared" si="13"/>
        <v>7.385839844</v>
      </c>
      <c r="CS14" s="20">
        <f t="shared" si="14"/>
        <v>10.25761426</v>
      </c>
      <c r="CT14" s="17">
        <v>93291.0</v>
      </c>
      <c r="CU14" s="19">
        <f>12981137/100</f>
        <v>129811.37</v>
      </c>
      <c r="CV14" s="17">
        <v>129738.0</v>
      </c>
      <c r="CW14" s="17">
        <v>131098.0</v>
      </c>
      <c r="CX14" s="19">
        <f t="shared" si="15"/>
        <v>7.288359375</v>
      </c>
      <c r="CY14" s="20">
        <f t="shared" si="16"/>
        <v>10.14151328</v>
      </c>
      <c r="CZ14" s="17">
        <v>446491.0</v>
      </c>
      <c r="DA14" s="19">
        <f>62876729/100</f>
        <v>628767.29</v>
      </c>
      <c r="DB14" s="17">
        <v>628543.0</v>
      </c>
      <c r="DC14" s="17">
        <v>629297.0</v>
      </c>
      <c r="DD14" s="19">
        <f t="shared" si="17"/>
        <v>6.976421875</v>
      </c>
      <c r="DE14" s="20">
        <f t="shared" si="18"/>
        <v>9.824488906</v>
      </c>
    </row>
    <row r="15">
      <c r="K15" s="3"/>
      <c r="L15" s="3"/>
      <c r="M15" s="3"/>
      <c r="O15" s="3"/>
      <c r="P15" s="3"/>
      <c r="S15" s="3"/>
      <c r="U15" s="3"/>
      <c r="V15" s="3"/>
      <c r="AO15" s="17" t="s">
        <v>20</v>
      </c>
      <c r="AP15" s="18" t="s">
        <v>17</v>
      </c>
      <c r="AQ15" s="18">
        <v>128.0</v>
      </c>
      <c r="AR15" s="17">
        <v>9993.0</v>
      </c>
      <c r="AS15" s="19">
        <f>1428415/100</f>
        <v>14284.15</v>
      </c>
      <c r="AT15" s="17">
        <v>14273.0</v>
      </c>
      <c r="AU15" s="17">
        <v>15142.0</v>
      </c>
      <c r="AV15" s="19">
        <f t="shared" si="1"/>
        <v>7.80703125</v>
      </c>
      <c r="AW15" s="20">
        <f t="shared" si="2"/>
        <v>11.15949219</v>
      </c>
      <c r="AX15" s="17">
        <v>29193.0</v>
      </c>
      <c r="AY15" s="19">
        <f>4292509/100</f>
        <v>42925.09</v>
      </c>
      <c r="AZ15" s="17">
        <v>42913.0</v>
      </c>
      <c r="BA15" s="17">
        <v>43863.0</v>
      </c>
      <c r="BB15" s="19">
        <f t="shared" si="3"/>
        <v>5.701757813</v>
      </c>
      <c r="BC15" s="20">
        <f t="shared" si="4"/>
        <v>8.383806641</v>
      </c>
      <c r="BD15" s="17">
        <v>54793.0</v>
      </c>
      <c r="BE15" s="19">
        <f>8110442/100</f>
        <v>81104.42</v>
      </c>
      <c r="BF15" s="17">
        <v>81089.0</v>
      </c>
      <c r="BG15" s="17">
        <v>82254.0</v>
      </c>
      <c r="BH15" s="19">
        <f t="shared" si="5"/>
        <v>5.350878906</v>
      </c>
      <c r="BI15" s="20">
        <f t="shared" si="6"/>
        <v>7.920353516</v>
      </c>
      <c r="BJ15" s="17">
        <v>67593.0</v>
      </c>
      <c r="BK15" s="19">
        <f>10019334/100</f>
        <v>100193.34</v>
      </c>
      <c r="BL15" s="17">
        <v>100179.0</v>
      </c>
      <c r="BM15" s="17">
        <v>101319.0</v>
      </c>
      <c r="BN15" s="19">
        <f t="shared" si="7"/>
        <v>5.280703125</v>
      </c>
      <c r="BO15" s="20">
        <f t="shared" si="8"/>
        <v>7.827604688</v>
      </c>
      <c r="BP15" s="3"/>
      <c r="BR15" s="3"/>
      <c r="BS15" s="3"/>
      <c r="BY15" s="17" t="s">
        <v>20</v>
      </c>
      <c r="BZ15" s="18" t="s">
        <v>17</v>
      </c>
      <c r="CA15" s="18">
        <v>128.0</v>
      </c>
      <c r="CB15" s="17">
        <v>13539.0</v>
      </c>
      <c r="CC15" s="19">
        <f>1626875/100</f>
        <v>16268.75</v>
      </c>
      <c r="CD15" s="17">
        <v>16195.0</v>
      </c>
      <c r="CE15" s="17">
        <v>17216.0</v>
      </c>
      <c r="CF15" s="19">
        <f t="shared" si="9"/>
        <v>10.57734375</v>
      </c>
      <c r="CG15" s="20">
        <f t="shared" si="10"/>
        <v>12.70996094</v>
      </c>
      <c r="CH15" s="17">
        <v>37959.0</v>
      </c>
      <c r="CI15" s="19">
        <f>4123651/100</f>
        <v>41236.51</v>
      </c>
      <c r="CJ15" s="17">
        <v>41155.0</v>
      </c>
      <c r="CK15" s="17">
        <v>42404.0</v>
      </c>
      <c r="CL15" s="19">
        <f t="shared" si="11"/>
        <v>7.413867188</v>
      </c>
      <c r="CM15" s="20">
        <f t="shared" si="12"/>
        <v>8.054005859</v>
      </c>
      <c r="CN15" s="17">
        <v>70519.0</v>
      </c>
      <c r="CO15" s="19">
        <f>7455718/100</f>
        <v>74557.18</v>
      </c>
      <c r="CP15" s="17">
        <v>74478.0</v>
      </c>
      <c r="CQ15" s="17">
        <v>75862.0</v>
      </c>
      <c r="CR15" s="19">
        <f t="shared" si="13"/>
        <v>6.886621094</v>
      </c>
      <c r="CS15" s="20">
        <f t="shared" si="14"/>
        <v>7.280974609</v>
      </c>
      <c r="CT15" s="17">
        <v>86799.0</v>
      </c>
      <c r="CU15" s="19">
        <f>9121607/100</f>
        <v>91216.07</v>
      </c>
      <c r="CV15" s="17">
        <v>91142.0</v>
      </c>
      <c r="CW15" s="17">
        <v>92683.0</v>
      </c>
      <c r="CX15" s="19">
        <f t="shared" si="15"/>
        <v>6.781171875</v>
      </c>
      <c r="CY15" s="20">
        <f t="shared" si="16"/>
        <v>7.126255469</v>
      </c>
      <c r="CZ15" s="17">
        <v>410399.0</v>
      </c>
      <c r="DA15" s="19">
        <f>42690507/100</f>
        <v>426905.07</v>
      </c>
      <c r="DB15" s="17">
        <v>426648.0</v>
      </c>
      <c r="DC15" s="17">
        <v>427430.0</v>
      </c>
      <c r="DD15" s="19">
        <f t="shared" si="17"/>
        <v>6.412484375</v>
      </c>
      <c r="DE15" s="20">
        <f t="shared" si="18"/>
        <v>6.670391719</v>
      </c>
    </row>
    <row r="16">
      <c r="F16" s="2"/>
      <c r="G16" s="21" t="s">
        <v>21</v>
      </c>
      <c r="H16" s="13"/>
      <c r="I16" s="13"/>
      <c r="J16" s="13"/>
      <c r="K16" s="13"/>
      <c r="L16" s="14"/>
      <c r="M16" s="22" t="s">
        <v>22</v>
      </c>
      <c r="N16" s="13"/>
      <c r="O16" s="13"/>
      <c r="P16" s="13"/>
      <c r="Q16" s="13"/>
      <c r="R16" s="14"/>
      <c r="S16" s="21" t="s">
        <v>23</v>
      </c>
      <c r="T16" s="13"/>
      <c r="U16" s="13"/>
      <c r="V16" s="13"/>
      <c r="W16" s="13"/>
      <c r="X16" s="14"/>
      <c r="Y16" s="22" t="s">
        <v>24</v>
      </c>
      <c r="Z16" s="13"/>
      <c r="AA16" s="13"/>
      <c r="AB16" s="13"/>
      <c r="AC16" s="13"/>
      <c r="AD16" s="14"/>
      <c r="AE16" s="21" t="s">
        <v>25</v>
      </c>
      <c r="AF16" s="13"/>
      <c r="AG16" s="13"/>
      <c r="AH16" s="13"/>
      <c r="AI16" s="13"/>
      <c r="AJ16" s="14"/>
      <c r="AR16" s="23" t="s">
        <v>26</v>
      </c>
      <c r="AS16" s="13"/>
      <c r="AT16" s="13"/>
      <c r="AU16" s="13"/>
      <c r="AV16" s="13"/>
      <c r="AW16" s="14"/>
      <c r="AX16" s="23" t="s">
        <v>27</v>
      </c>
      <c r="AY16" s="13"/>
      <c r="AZ16" s="13"/>
      <c r="BA16" s="13"/>
      <c r="BB16" s="13"/>
      <c r="BC16" s="14"/>
      <c r="BD16" s="23" t="s">
        <v>28</v>
      </c>
      <c r="BE16" s="13"/>
      <c r="BF16" s="13"/>
      <c r="BG16" s="13"/>
      <c r="BH16" s="13"/>
      <c r="BI16" s="14"/>
      <c r="BJ16" s="23" t="s">
        <v>29</v>
      </c>
      <c r="BK16" s="13"/>
      <c r="BL16" s="13"/>
      <c r="BM16" s="13"/>
      <c r="BN16" s="13"/>
      <c r="BO16" s="14"/>
      <c r="BP16" s="2"/>
      <c r="BV16" s="2"/>
      <c r="BW16" s="2"/>
      <c r="BX16" s="2"/>
      <c r="CB16" s="23" t="s">
        <v>26</v>
      </c>
      <c r="CC16" s="13"/>
      <c r="CD16" s="13"/>
      <c r="CE16" s="13"/>
      <c r="CF16" s="13"/>
      <c r="CG16" s="14"/>
      <c r="CH16" s="23" t="s">
        <v>27</v>
      </c>
      <c r="CI16" s="13"/>
      <c r="CJ16" s="13"/>
      <c r="CK16" s="13"/>
      <c r="CL16" s="13"/>
      <c r="CM16" s="14"/>
      <c r="CN16" s="23" t="s">
        <v>28</v>
      </c>
      <c r="CO16" s="13"/>
      <c r="CP16" s="13"/>
      <c r="CQ16" s="13"/>
      <c r="CR16" s="13"/>
      <c r="CS16" s="14"/>
      <c r="CT16" s="23" t="s">
        <v>29</v>
      </c>
      <c r="CU16" s="13"/>
      <c r="CV16" s="13"/>
      <c r="CW16" s="13"/>
      <c r="CX16" s="13"/>
      <c r="CY16" s="14"/>
      <c r="CZ16" s="23" t="s">
        <v>29</v>
      </c>
      <c r="DA16" s="13"/>
      <c r="DB16" s="13"/>
      <c r="DC16" s="13"/>
      <c r="DD16" s="13"/>
      <c r="DE16" s="14"/>
    </row>
    <row r="17">
      <c r="B17" s="2"/>
      <c r="C17" s="15" t="s">
        <v>30</v>
      </c>
      <c r="D17" s="15" t="s">
        <v>31</v>
      </c>
      <c r="E17" s="15" t="s">
        <v>32</v>
      </c>
      <c r="F17" s="15" t="s">
        <v>33</v>
      </c>
      <c r="G17" s="15" t="s">
        <v>10</v>
      </c>
      <c r="H17" s="15" t="s">
        <v>11</v>
      </c>
      <c r="I17" s="15" t="s">
        <v>12</v>
      </c>
      <c r="J17" s="15" t="s">
        <v>13</v>
      </c>
      <c r="K17" s="15" t="s">
        <v>14</v>
      </c>
      <c r="L17" s="16" t="s">
        <v>15</v>
      </c>
      <c r="M17" s="15" t="s">
        <v>10</v>
      </c>
      <c r="N17" s="15" t="s">
        <v>11</v>
      </c>
      <c r="O17" s="15" t="s">
        <v>12</v>
      </c>
      <c r="P17" s="15" t="s">
        <v>13</v>
      </c>
      <c r="Q17" s="15" t="s">
        <v>14</v>
      </c>
      <c r="R17" s="16" t="s">
        <v>15</v>
      </c>
      <c r="S17" s="15" t="s">
        <v>10</v>
      </c>
      <c r="T17" s="15" t="s">
        <v>11</v>
      </c>
      <c r="U17" s="15" t="s">
        <v>12</v>
      </c>
      <c r="V17" s="15" t="s">
        <v>13</v>
      </c>
      <c r="W17" s="15" t="s">
        <v>14</v>
      </c>
      <c r="X17" s="16" t="s">
        <v>15</v>
      </c>
      <c r="Y17" s="15" t="s">
        <v>10</v>
      </c>
      <c r="Z17" s="15" t="s">
        <v>11</v>
      </c>
      <c r="AA17" s="15" t="s">
        <v>12</v>
      </c>
      <c r="AB17" s="15" t="s">
        <v>13</v>
      </c>
      <c r="AC17" s="15" t="s">
        <v>14</v>
      </c>
      <c r="AD17" s="16" t="s">
        <v>15</v>
      </c>
      <c r="AE17" s="15" t="s">
        <v>10</v>
      </c>
      <c r="AF17" s="15" t="s">
        <v>11</v>
      </c>
      <c r="AG17" s="15" t="s">
        <v>12</v>
      </c>
      <c r="AH17" s="15" t="s">
        <v>13</v>
      </c>
      <c r="AI17" s="15" t="s">
        <v>14</v>
      </c>
      <c r="AJ17" s="16" t="s">
        <v>15</v>
      </c>
      <c r="AK17" s="24" t="s">
        <v>34</v>
      </c>
      <c r="AR17" s="15" t="s">
        <v>10</v>
      </c>
      <c r="AS17" s="15" t="s">
        <v>11</v>
      </c>
      <c r="AT17" s="15" t="s">
        <v>12</v>
      </c>
      <c r="AU17" s="15" t="s">
        <v>13</v>
      </c>
      <c r="AV17" s="15" t="s">
        <v>14</v>
      </c>
      <c r="AW17" s="16" t="s">
        <v>15</v>
      </c>
      <c r="AX17" s="15" t="s">
        <v>10</v>
      </c>
      <c r="AY17" s="15" t="s">
        <v>11</v>
      </c>
      <c r="AZ17" s="15" t="s">
        <v>12</v>
      </c>
      <c r="BA17" s="15" t="s">
        <v>13</v>
      </c>
      <c r="BB17" s="15" t="s">
        <v>14</v>
      </c>
      <c r="BC17" s="16" t="s">
        <v>15</v>
      </c>
      <c r="BD17" s="15" t="s">
        <v>10</v>
      </c>
      <c r="BE17" s="15" t="s">
        <v>11</v>
      </c>
      <c r="BF17" s="15" t="s">
        <v>12</v>
      </c>
      <c r="BG17" s="15" t="s">
        <v>13</v>
      </c>
      <c r="BH17" s="15" t="s">
        <v>14</v>
      </c>
      <c r="BI17" s="16" t="s">
        <v>15</v>
      </c>
      <c r="BJ17" s="15" t="s">
        <v>10</v>
      </c>
      <c r="BK17" s="15" t="s">
        <v>11</v>
      </c>
      <c r="BL17" s="15" t="s">
        <v>12</v>
      </c>
      <c r="BM17" s="15" t="s">
        <v>13</v>
      </c>
      <c r="BN17" s="15" t="s">
        <v>14</v>
      </c>
      <c r="BO17" s="16" t="s">
        <v>15</v>
      </c>
      <c r="BP17" s="2"/>
      <c r="BQ17" s="2"/>
      <c r="BR17" s="2"/>
      <c r="BS17" s="2"/>
      <c r="BT17" s="2"/>
      <c r="BU17" s="2"/>
      <c r="BV17" s="2"/>
      <c r="BW17" s="2"/>
      <c r="BX17" s="2"/>
      <c r="CB17" s="15" t="s">
        <v>10</v>
      </c>
      <c r="CC17" s="15" t="s">
        <v>11</v>
      </c>
      <c r="CD17" s="15" t="s">
        <v>12</v>
      </c>
      <c r="CE17" s="15" t="s">
        <v>13</v>
      </c>
      <c r="CF17" s="15" t="s">
        <v>14</v>
      </c>
      <c r="CG17" s="16" t="s">
        <v>15</v>
      </c>
      <c r="CH17" s="15" t="s">
        <v>10</v>
      </c>
      <c r="CI17" s="15" t="s">
        <v>11</v>
      </c>
      <c r="CJ17" s="15" t="s">
        <v>12</v>
      </c>
      <c r="CK17" s="15" t="s">
        <v>13</v>
      </c>
      <c r="CL17" s="15" t="s">
        <v>14</v>
      </c>
      <c r="CM17" s="16" t="s">
        <v>15</v>
      </c>
      <c r="CN17" s="15" t="s">
        <v>10</v>
      </c>
      <c r="CO17" s="15" t="s">
        <v>11</v>
      </c>
      <c r="CP17" s="15" t="s">
        <v>12</v>
      </c>
      <c r="CQ17" s="15" t="s">
        <v>13</v>
      </c>
      <c r="CR17" s="15" t="s">
        <v>14</v>
      </c>
      <c r="CS17" s="16" t="s">
        <v>15</v>
      </c>
      <c r="CT17" s="15" t="s">
        <v>10</v>
      </c>
      <c r="CU17" s="15" t="s">
        <v>11</v>
      </c>
      <c r="CV17" s="15" t="s">
        <v>12</v>
      </c>
      <c r="CW17" s="15" t="s">
        <v>13</v>
      </c>
      <c r="CX17" s="15" t="s">
        <v>14</v>
      </c>
      <c r="CY17" s="16" t="s">
        <v>15</v>
      </c>
      <c r="CZ17" s="15" t="s">
        <v>10</v>
      </c>
      <c r="DA17" s="15" t="s">
        <v>11</v>
      </c>
      <c r="DB17" s="15" t="s">
        <v>12</v>
      </c>
      <c r="DC17" s="15" t="s">
        <v>13</v>
      </c>
      <c r="DD17" s="15" t="s">
        <v>14</v>
      </c>
      <c r="DE17" s="16" t="s">
        <v>15</v>
      </c>
    </row>
    <row r="18">
      <c r="B18" s="17" t="s">
        <v>35</v>
      </c>
      <c r="C18" s="25" t="s">
        <v>36</v>
      </c>
      <c r="D18" s="26">
        <v>512.0</v>
      </c>
      <c r="E18" s="26">
        <v>256.0</v>
      </c>
      <c r="F18" s="26" t="s">
        <v>37</v>
      </c>
      <c r="G18" s="27">
        <v>1917.0</v>
      </c>
      <c r="H18" s="27">
        <f>2111188/1000</f>
        <v>2111.188</v>
      </c>
      <c r="I18" s="27">
        <v>2110.0</v>
      </c>
      <c r="J18" s="27">
        <v>2921.0</v>
      </c>
      <c r="K18" s="28">
        <f>G18/D18</f>
        <v>3.744140625</v>
      </c>
      <c r="L18" s="28">
        <f>H18/D18</f>
        <v>4.123414063</v>
      </c>
      <c r="M18" s="17">
        <v>19858.0</v>
      </c>
      <c r="N18" s="29">
        <f>22566007/1000</f>
        <v>22566.007</v>
      </c>
      <c r="O18" s="17">
        <v>22565.0</v>
      </c>
      <c r="P18" s="17">
        <v>23302.0</v>
      </c>
      <c r="Q18" s="29">
        <f t="shared" ref="Q18:Q41" si="19">M18/D18*0.1</f>
        <v>3.878515625</v>
      </c>
      <c r="R18" s="30">
        <f t="shared" ref="R18:R41" si="20">N18/D18*0.1</f>
        <v>4.407423242</v>
      </c>
      <c r="S18" s="17">
        <v>79348.0</v>
      </c>
      <c r="T18" s="29">
        <f>90126862/1000</f>
        <v>90126.862</v>
      </c>
      <c r="U18" s="17">
        <v>90125.0</v>
      </c>
      <c r="V18" s="17">
        <v>91678.0</v>
      </c>
      <c r="W18" s="29">
        <f t="shared" ref="W18:W41" si="21">S18/(40*D18)</f>
        <v>3.874414063</v>
      </c>
      <c r="X18" s="31">
        <f t="shared" ref="X18:X41" si="22">T18/(40*D18)</f>
        <v>4.400725684</v>
      </c>
      <c r="Y18" s="17">
        <v>158668.0</v>
      </c>
      <c r="Z18" s="29">
        <f>179808888/1000</f>
        <v>179808.888</v>
      </c>
      <c r="AA18" s="17">
        <v>179805.0</v>
      </c>
      <c r="AB18" s="17">
        <v>182682.0</v>
      </c>
      <c r="AC18" s="29">
        <f t="shared" ref="AC18:AC41" si="23">Y18/(80*D18)</f>
        <v>3.873730469</v>
      </c>
      <c r="AD18" s="31">
        <f t="shared" ref="AD18:AD41" si="24">Z18/(80*D18)</f>
        <v>4.38986543</v>
      </c>
      <c r="AE18" s="17">
        <f>198328</f>
        <v>198328</v>
      </c>
      <c r="AF18" s="32">
        <f>225248863/1000</f>
        <v>225248.863</v>
      </c>
      <c r="AG18" s="17">
        <v>225245.0</v>
      </c>
      <c r="AH18" s="17">
        <v>228273.0</v>
      </c>
      <c r="AI18" s="32">
        <f t="shared" ref="AI18:AI41" si="25">AE18/(100*D18)</f>
        <v>3.87359375</v>
      </c>
      <c r="AJ18" s="30">
        <f t="shared" ref="AJ18:AJ41" si="26">AF18/(100*D18)</f>
        <v>4.399391855</v>
      </c>
      <c r="AK18" s="33">
        <f t="shared" ref="AK18:AK41" si="27">AH18-AG18</f>
        <v>3028</v>
      </c>
      <c r="AO18" s="17" t="s">
        <v>16</v>
      </c>
      <c r="AP18" s="18" t="s">
        <v>17</v>
      </c>
      <c r="AQ18" s="18">
        <v>64.0</v>
      </c>
      <c r="AR18" s="17">
        <v>18992.0</v>
      </c>
      <c r="AS18" s="19">
        <f>2536469/100</f>
        <v>25364.69</v>
      </c>
      <c r="AT18" s="17">
        <v>25216.0</v>
      </c>
      <c r="AU18" s="17">
        <v>27374.0</v>
      </c>
      <c r="AV18" s="19">
        <f t="shared" ref="AV18:AV21" si="28">AR18/(10*AQ12)</f>
        <v>29.675</v>
      </c>
      <c r="AW18" s="20">
        <f t="shared" ref="AW18:AW21" si="29">AS18/(10*AQ12)</f>
        <v>39.63232813</v>
      </c>
      <c r="AX18" s="17">
        <v>44522.0</v>
      </c>
      <c r="AY18" s="19">
        <f>5258303/100</f>
        <v>52583.03</v>
      </c>
      <c r="AZ18" s="17">
        <v>52397.0</v>
      </c>
      <c r="BA18" s="17">
        <v>54714.0</v>
      </c>
      <c r="BB18" s="19">
        <f t="shared" ref="BB18:BB21" si="30">AX18/(40*AQ12)</f>
        <v>17.39140625</v>
      </c>
      <c r="BC18" s="20">
        <f t="shared" ref="BC18:BC21" si="31">AY18/(40*AQ12)</f>
        <v>20.54024609</v>
      </c>
      <c r="BD18" s="17">
        <v>78562.0</v>
      </c>
      <c r="BE18" s="19">
        <f>8884414/100</f>
        <v>88844.14</v>
      </c>
      <c r="BF18" s="17">
        <v>88714.0</v>
      </c>
      <c r="BG18" s="17">
        <v>91182.0</v>
      </c>
      <c r="BH18" s="19">
        <f t="shared" ref="BH18:BH21" si="32">BD18/(80*AQ12)</f>
        <v>15.34414063</v>
      </c>
      <c r="BI18" s="20">
        <f t="shared" ref="BI18:BI21" si="33">BE18/(80*AQ12)</f>
        <v>17.35237109</v>
      </c>
      <c r="BJ18" s="17">
        <v>95582.0</v>
      </c>
      <c r="BK18" s="17">
        <f>10698982/100</f>
        <v>106989.82</v>
      </c>
      <c r="BL18" s="17">
        <v>106867.0</v>
      </c>
      <c r="BM18" s="17">
        <v>109457.0</v>
      </c>
      <c r="BN18" s="19">
        <f t="shared" ref="BN18:BN21" si="34">BJ18/(100*AQ12)</f>
        <v>14.9346875</v>
      </c>
      <c r="BO18" s="20">
        <f t="shared" ref="BO18:BO21" si="35">BK18/(100*AQ12)</f>
        <v>16.71715938</v>
      </c>
      <c r="BQ18" s="3"/>
      <c r="BR18" s="3"/>
      <c r="BS18" s="3"/>
      <c r="BY18" s="17" t="s">
        <v>16</v>
      </c>
      <c r="BZ18" s="18" t="s">
        <v>17</v>
      </c>
      <c r="CA18" s="18">
        <v>64.0</v>
      </c>
      <c r="CB18" s="17">
        <v>18992.0</v>
      </c>
      <c r="CC18" s="19">
        <f>2536469/100</f>
        <v>25364.69</v>
      </c>
      <c r="CD18" s="17">
        <v>25216.0</v>
      </c>
      <c r="CE18" s="17">
        <v>27374.0</v>
      </c>
      <c r="CF18" s="19">
        <f t="shared" ref="CF18:CF21" si="36">CB18/(10*CA12)</f>
        <v>29.675</v>
      </c>
      <c r="CG18" s="20">
        <f t="shared" ref="CG18:CG21" si="37">CC18/(10*CA12)</f>
        <v>39.63232813</v>
      </c>
      <c r="CH18" s="17">
        <v>44522.0</v>
      </c>
      <c r="CI18" s="19">
        <f>5258303/100</f>
        <v>52583.03</v>
      </c>
      <c r="CJ18" s="17">
        <v>52397.0</v>
      </c>
      <c r="CK18" s="17">
        <v>54714.0</v>
      </c>
      <c r="CL18" s="19">
        <f t="shared" ref="CL18:CL21" si="38">CH18/(40*CA12)</f>
        <v>17.39140625</v>
      </c>
      <c r="CM18" s="20">
        <f t="shared" ref="CM18:CM21" si="39">CI18/(40*CA12)</f>
        <v>20.54024609</v>
      </c>
      <c r="CN18" s="17">
        <v>78562.0</v>
      </c>
      <c r="CO18" s="19">
        <f>8884414/100</f>
        <v>88844.14</v>
      </c>
      <c r="CP18" s="17">
        <v>88714.0</v>
      </c>
      <c r="CQ18" s="17">
        <v>91182.0</v>
      </c>
      <c r="CR18" s="19">
        <f t="shared" ref="CR18:CR21" si="40">CN18/(80*CA12)</f>
        <v>15.34414063</v>
      </c>
      <c r="CS18" s="20">
        <f t="shared" ref="CS18:CS21" si="41">CO18/(80*CA12)</f>
        <v>17.35237109</v>
      </c>
      <c r="CT18" s="3">
        <v>95582.0</v>
      </c>
      <c r="CU18" s="17">
        <f>10698982/100</f>
        <v>106989.82</v>
      </c>
      <c r="CV18" s="17">
        <v>106867.0</v>
      </c>
      <c r="CW18" s="17">
        <v>109457.0</v>
      </c>
      <c r="CX18" s="19">
        <f t="shared" ref="CX18:CX21" si="42">CT18/(100*CA12)</f>
        <v>14.9346875</v>
      </c>
      <c r="CY18" s="20">
        <f t="shared" ref="CY18:CY21" si="43">CU18/(100*CA12)</f>
        <v>16.71715938</v>
      </c>
      <c r="CZ18" s="3">
        <v>435982.0</v>
      </c>
      <c r="DA18" s="17">
        <f>47012955/100</f>
        <v>470129.55</v>
      </c>
      <c r="DB18" s="17">
        <v>469931.0</v>
      </c>
      <c r="DC18" s="17">
        <v>474126.0</v>
      </c>
      <c r="DD18" s="19">
        <f t="shared" ref="DD18:DD21" si="44">CZ18/(500*CA12)</f>
        <v>13.6244375</v>
      </c>
      <c r="DE18" s="20">
        <f t="shared" ref="DE18:DE21" si="45">DA18/(500*CA12)</f>
        <v>14.69154844</v>
      </c>
    </row>
    <row r="19">
      <c r="B19" s="17" t="s">
        <v>38</v>
      </c>
      <c r="C19" s="25" t="s">
        <v>36</v>
      </c>
      <c r="D19" s="26">
        <v>512.0</v>
      </c>
      <c r="E19" s="26">
        <v>256.0</v>
      </c>
      <c r="F19" s="34" t="s">
        <v>39</v>
      </c>
      <c r="G19" s="19"/>
      <c r="H19" s="19"/>
      <c r="I19" s="17"/>
      <c r="J19" s="17"/>
      <c r="K19" s="29"/>
      <c r="L19" s="29"/>
      <c r="M19" s="17">
        <v>34258.0</v>
      </c>
      <c r="N19" s="29">
        <f>40600534/1000</f>
        <v>40600.534</v>
      </c>
      <c r="O19" s="17">
        <v>40599.0</v>
      </c>
      <c r="P19" s="17">
        <v>41514.0</v>
      </c>
      <c r="Q19" s="29">
        <f t="shared" si="19"/>
        <v>6.691015625</v>
      </c>
      <c r="R19" s="30">
        <f t="shared" si="20"/>
        <v>7.929791797</v>
      </c>
      <c r="S19" s="17">
        <v>126826.0</v>
      </c>
      <c r="T19" s="29">
        <f>150323352/1000</f>
        <v>150323.352</v>
      </c>
      <c r="U19" s="17">
        <v>150298.0</v>
      </c>
      <c r="V19" s="17">
        <v>152529.0</v>
      </c>
      <c r="W19" s="29">
        <f t="shared" si="21"/>
        <v>6.192675781</v>
      </c>
      <c r="X19" s="31">
        <f t="shared" si="22"/>
        <v>7.340007422</v>
      </c>
      <c r="Y19" s="17">
        <v>250273.0</v>
      </c>
      <c r="Z19" s="29">
        <f>479750021/1000-Z18</f>
        <v>299941.133</v>
      </c>
      <c r="AA19" s="17">
        <v>299696.0</v>
      </c>
      <c r="AB19" s="17">
        <v>300631.0</v>
      </c>
      <c r="AC19" s="29">
        <f t="shared" si="23"/>
        <v>6.110180664</v>
      </c>
      <c r="AD19" s="31">
        <f t="shared" si="24"/>
        <v>7.322781567</v>
      </c>
      <c r="AE19" s="17">
        <v>312008.0</v>
      </c>
      <c r="AF19" s="32">
        <f>601033887/1000 -AF18</f>
        <v>375785.024</v>
      </c>
      <c r="AG19" s="17">
        <v>374651.0</v>
      </c>
      <c r="AH19" s="17">
        <v>376736.0</v>
      </c>
      <c r="AI19" s="32">
        <f t="shared" si="25"/>
        <v>6.09390625</v>
      </c>
      <c r="AJ19" s="30">
        <f t="shared" si="26"/>
        <v>7.33955125</v>
      </c>
      <c r="AK19" s="33">
        <f t="shared" si="27"/>
        <v>2085</v>
      </c>
      <c r="AO19" s="17" t="s">
        <v>18</v>
      </c>
      <c r="AP19" s="18" t="s">
        <v>17</v>
      </c>
      <c r="AQ19" s="18">
        <v>64.0</v>
      </c>
      <c r="AR19" s="17">
        <v>18956.0</v>
      </c>
      <c r="AS19" s="17">
        <f>2536611/100</f>
        <v>25366.11</v>
      </c>
      <c r="AT19" s="17">
        <v>25207.0</v>
      </c>
      <c r="AU19" s="17">
        <v>27054.0</v>
      </c>
      <c r="AV19" s="19">
        <f t="shared" si="28"/>
        <v>29.61875</v>
      </c>
      <c r="AW19" s="20">
        <f t="shared" si="29"/>
        <v>39.63454688</v>
      </c>
      <c r="AX19" s="17">
        <v>44366.0</v>
      </c>
      <c r="AY19" s="19">
        <f>5244861/100</f>
        <v>52448.61</v>
      </c>
      <c r="AZ19" s="17">
        <v>52302.0</v>
      </c>
      <c r="BA19" s="17">
        <v>54302.0</v>
      </c>
      <c r="BB19" s="19">
        <f t="shared" si="30"/>
        <v>17.33046875</v>
      </c>
      <c r="BC19" s="20">
        <f t="shared" si="31"/>
        <v>20.48773828</v>
      </c>
      <c r="BD19" s="17">
        <v>78246.0</v>
      </c>
      <c r="BE19" s="19">
        <f>8854837/100</f>
        <v>88548.37</v>
      </c>
      <c r="BF19" s="17">
        <v>88372.0</v>
      </c>
      <c r="BG19" s="17">
        <v>90612.0</v>
      </c>
      <c r="BH19" s="19">
        <f t="shared" si="32"/>
        <v>15.28242188</v>
      </c>
      <c r="BI19" s="20">
        <f t="shared" si="33"/>
        <v>17.29460352</v>
      </c>
      <c r="BJ19" s="17">
        <v>95186.0</v>
      </c>
      <c r="BK19" s="19">
        <f>10661050/100</f>
        <v>106610.5</v>
      </c>
      <c r="BL19" s="17">
        <v>106440.0</v>
      </c>
      <c r="BM19" s="17">
        <v>108755.0</v>
      </c>
      <c r="BN19" s="19">
        <f t="shared" si="34"/>
        <v>14.8728125</v>
      </c>
      <c r="BO19" s="20">
        <f t="shared" si="35"/>
        <v>16.65789063</v>
      </c>
      <c r="BP19" s="3"/>
      <c r="BR19" s="3"/>
      <c r="BS19" s="3"/>
      <c r="BY19" s="17" t="s">
        <v>18</v>
      </c>
      <c r="BZ19" s="18" t="s">
        <v>17</v>
      </c>
      <c r="CA19" s="18">
        <v>64.0</v>
      </c>
      <c r="CB19" s="17">
        <v>18956.0</v>
      </c>
      <c r="CC19" s="17">
        <f>2536611/100</f>
        <v>25366.11</v>
      </c>
      <c r="CD19" s="17">
        <v>25207.0</v>
      </c>
      <c r="CE19" s="17">
        <v>27054.0</v>
      </c>
      <c r="CF19" s="19">
        <f t="shared" si="36"/>
        <v>29.61875</v>
      </c>
      <c r="CG19" s="20">
        <f t="shared" si="37"/>
        <v>39.63454688</v>
      </c>
      <c r="CH19" s="17">
        <v>44366.0</v>
      </c>
      <c r="CI19" s="19">
        <f>5244861/100</f>
        <v>52448.61</v>
      </c>
      <c r="CJ19" s="17">
        <v>52302.0</v>
      </c>
      <c r="CK19" s="17">
        <v>54302.0</v>
      </c>
      <c r="CL19" s="19">
        <f t="shared" si="38"/>
        <v>17.33046875</v>
      </c>
      <c r="CM19" s="20">
        <f t="shared" si="39"/>
        <v>20.48773828</v>
      </c>
      <c r="CN19" s="17">
        <v>78246.0</v>
      </c>
      <c r="CO19" s="19">
        <f>8854837/100</f>
        <v>88548.37</v>
      </c>
      <c r="CP19" s="17">
        <v>88372.0</v>
      </c>
      <c r="CQ19" s="17">
        <v>90612.0</v>
      </c>
      <c r="CR19" s="19">
        <f t="shared" si="40"/>
        <v>15.28242188</v>
      </c>
      <c r="CS19" s="20">
        <f t="shared" si="41"/>
        <v>17.29460352</v>
      </c>
      <c r="CT19" s="17">
        <v>95186.0</v>
      </c>
      <c r="CU19" s="19">
        <f>10661050/100</f>
        <v>106610.5</v>
      </c>
      <c r="CV19" s="17">
        <v>106440.0</v>
      </c>
      <c r="CW19" s="17">
        <v>108755.0</v>
      </c>
      <c r="CX19" s="19">
        <f t="shared" si="42"/>
        <v>14.8728125</v>
      </c>
      <c r="CY19" s="20">
        <f t="shared" si="43"/>
        <v>16.65789063</v>
      </c>
      <c r="CZ19" s="17">
        <v>433986.0</v>
      </c>
      <c r="DA19" s="19">
        <f>46814731/100</f>
        <v>468147.31</v>
      </c>
      <c r="DB19" s="17">
        <v>467957.0</v>
      </c>
      <c r="DC19" s="17">
        <v>471861.0</v>
      </c>
      <c r="DD19" s="19">
        <f t="shared" si="44"/>
        <v>13.5620625</v>
      </c>
      <c r="DE19" s="20">
        <f t="shared" si="45"/>
        <v>14.62960344</v>
      </c>
    </row>
    <row r="20">
      <c r="B20" s="17" t="s">
        <v>40</v>
      </c>
      <c r="C20" s="35" t="s">
        <v>41</v>
      </c>
      <c r="D20" s="36">
        <v>128.0</v>
      </c>
      <c r="E20" s="34">
        <v>128.0</v>
      </c>
      <c r="F20" s="26" t="s">
        <v>37</v>
      </c>
      <c r="G20" s="27">
        <v>4297.0</v>
      </c>
      <c r="H20" s="27">
        <f>7371132/1000</f>
        <v>7371.132</v>
      </c>
      <c r="I20" s="27">
        <v>7369.0</v>
      </c>
      <c r="J20" s="27">
        <v>8655.0</v>
      </c>
      <c r="K20" s="28">
        <f t="shared" ref="K20:K25" si="46">G20/D20</f>
        <v>33.5703125</v>
      </c>
      <c r="L20" s="28">
        <f t="shared" ref="L20:L25" si="47">H20/D20</f>
        <v>57.58696875</v>
      </c>
      <c r="M20" s="17">
        <v>42973.0</v>
      </c>
      <c r="N20" s="29">
        <f>73577259/1000</f>
        <v>73577.259</v>
      </c>
      <c r="O20" s="17">
        <v>73576.0</v>
      </c>
      <c r="P20" s="17">
        <v>74127.0</v>
      </c>
      <c r="Q20" s="29">
        <f t="shared" si="19"/>
        <v>33.57265625</v>
      </c>
      <c r="R20" s="30">
        <f t="shared" si="20"/>
        <v>57.48223359</v>
      </c>
      <c r="S20" s="17">
        <v>171813.0</v>
      </c>
      <c r="T20" s="29">
        <f>294187291/1000</f>
        <v>294187.291</v>
      </c>
      <c r="U20" s="17">
        <v>294186.0</v>
      </c>
      <c r="V20" s="17">
        <v>294771.0</v>
      </c>
      <c r="W20" s="29">
        <f t="shared" si="21"/>
        <v>33.55722656</v>
      </c>
      <c r="X20" s="31">
        <f t="shared" si="22"/>
        <v>57.45845527</v>
      </c>
      <c r="Y20" s="17">
        <v>343623.0</v>
      </c>
      <c r="Z20" s="29">
        <f>588357285/1000</f>
        <v>588357.285</v>
      </c>
      <c r="AA20" s="17">
        <v>588356.0</v>
      </c>
      <c r="AB20" s="17">
        <v>588925.0</v>
      </c>
      <c r="AC20" s="29">
        <f t="shared" si="23"/>
        <v>33.55693359</v>
      </c>
      <c r="AD20" s="31">
        <f t="shared" si="24"/>
        <v>57.45676611</v>
      </c>
      <c r="AE20" s="17">
        <v>429523.0</v>
      </c>
      <c r="AF20" s="32">
        <f>735486228/1000</f>
        <v>735486.228</v>
      </c>
      <c r="AG20" s="17">
        <v>735471.0</v>
      </c>
      <c r="AH20" s="17">
        <v>736151.0</v>
      </c>
      <c r="AI20" s="32">
        <f t="shared" si="25"/>
        <v>33.55648438</v>
      </c>
      <c r="AJ20" s="30">
        <f t="shared" si="26"/>
        <v>57.45986156</v>
      </c>
      <c r="AK20" s="33">
        <f t="shared" si="27"/>
        <v>680</v>
      </c>
      <c r="AO20" s="17" t="s">
        <v>19</v>
      </c>
      <c r="AP20" s="18" t="s">
        <v>17</v>
      </c>
      <c r="AQ20" s="18">
        <v>128.0</v>
      </c>
      <c r="AR20" s="17">
        <v>18719.0</v>
      </c>
      <c r="AS20" s="19">
        <f>2292353/100</f>
        <v>22923.53</v>
      </c>
      <c r="AT20" s="17">
        <v>22844.0</v>
      </c>
      <c r="AU20" s="17">
        <v>24106.0</v>
      </c>
      <c r="AV20" s="19">
        <f t="shared" si="28"/>
        <v>14.62421875</v>
      </c>
      <c r="AW20" s="20">
        <f t="shared" si="29"/>
        <v>17.90900781</v>
      </c>
      <c r="AX20" s="17">
        <v>51719.0</v>
      </c>
      <c r="AY20" s="19">
        <f>5686015/100</f>
        <v>56860.15</v>
      </c>
      <c r="AZ20" s="17">
        <v>56798.0</v>
      </c>
      <c r="BA20" s="17">
        <v>58212.0</v>
      </c>
      <c r="BB20" s="19">
        <f t="shared" si="30"/>
        <v>10.10136719</v>
      </c>
      <c r="BC20" s="20">
        <f t="shared" si="31"/>
        <v>11.10549805</v>
      </c>
      <c r="BD20" s="17">
        <v>95719.0</v>
      </c>
      <c r="BE20" s="19">
        <f>10211431/100</f>
        <v>102114.31</v>
      </c>
      <c r="BF20" s="17">
        <v>102040.0</v>
      </c>
      <c r="BG20" s="17">
        <v>103765.0</v>
      </c>
      <c r="BH20" s="19">
        <f t="shared" si="32"/>
        <v>9.347558594</v>
      </c>
      <c r="BI20" s="20">
        <f t="shared" si="33"/>
        <v>9.972100586</v>
      </c>
      <c r="BJ20" s="17">
        <v>117719.0</v>
      </c>
      <c r="BK20" s="17">
        <f>12472675/100</f>
        <v>124726.75</v>
      </c>
      <c r="BL20" s="17">
        <v>124648.0</v>
      </c>
      <c r="BM20" s="17">
        <v>126615.0</v>
      </c>
      <c r="BN20" s="19">
        <f t="shared" si="34"/>
        <v>9.196796875</v>
      </c>
      <c r="BO20" s="20">
        <f t="shared" si="35"/>
        <v>9.744277344</v>
      </c>
      <c r="BP20" s="3"/>
      <c r="BQ20" s="3"/>
      <c r="BR20" s="3"/>
      <c r="BS20" s="3"/>
      <c r="BY20" s="17" t="s">
        <v>19</v>
      </c>
      <c r="BZ20" s="18" t="s">
        <v>17</v>
      </c>
      <c r="CA20" s="18">
        <v>128.0</v>
      </c>
      <c r="CB20" s="17">
        <v>18719.0</v>
      </c>
      <c r="CC20" s="19">
        <f>2292353/100</f>
        <v>22923.53</v>
      </c>
      <c r="CD20" s="17">
        <v>22844.0</v>
      </c>
      <c r="CE20" s="17">
        <v>24106.0</v>
      </c>
      <c r="CF20" s="19">
        <f t="shared" si="36"/>
        <v>14.62421875</v>
      </c>
      <c r="CG20" s="20">
        <f t="shared" si="37"/>
        <v>17.90900781</v>
      </c>
      <c r="CH20" s="17">
        <v>51719.0</v>
      </c>
      <c r="CI20" s="19">
        <f>5686015/100</f>
        <v>56860.15</v>
      </c>
      <c r="CJ20" s="17">
        <v>56798.0</v>
      </c>
      <c r="CK20" s="17">
        <v>58212.0</v>
      </c>
      <c r="CL20" s="19">
        <f t="shared" si="38"/>
        <v>10.10136719</v>
      </c>
      <c r="CM20" s="20">
        <f t="shared" si="39"/>
        <v>11.10549805</v>
      </c>
      <c r="CN20" s="17">
        <v>95719.0</v>
      </c>
      <c r="CO20" s="19">
        <f>10211431/100</f>
        <v>102114.31</v>
      </c>
      <c r="CP20" s="17">
        <v>102040.0</v>
      </c>
      <c r="CQ20" s="17">
        <v>103765.0</v>
      </c>
      <c r="CR20" s="19">
        <f t="shared" si="40"/>
        <v>9.347558594</v>
      </c>
      <c r="CS20" s="20">
        <f t="shared" si="41"/>
        <v>9.972100586</v>
      </c>
      <c r="CT20" s="17">
        <v>117719.0</v>
      </c>
      <c r="CU20" s="17">
        <f>12472675/100</f>
        <v>124726.75</v>
      </c>
      <c r="CV20" s="17">
        <v>124648.0</v>
      </c>
      <c r="CW20" s="17">
        <v>126615.0</v>
      </c>
      <c r="CX20" s="19">
        <f t="shared" si="42"/>
        <v>9.196796875</v>
      </c>
      <c r="CY20" s="20">
        <f t="shared" si="43"/>
        <v>9.744277344</v>
      </c>
      <c r="CZ20" s="17">
        <v>557719.0</v>
      </c>
      <c r="DA20" s="17">
        <f>58215644/100</f>
        <v>582156.44</v>
      </c>
      <c r="DB20" s="17">
        <v>581920.0</v>
      </c>
      <c r="DC20" s="17">
        <v>582781.0</v>
      </c>
      <c r="DD20" s="19">
        <f t="shared" si="44"/>
        <v>8.714359375</v>
      </c>
      <c r="DE20" s="20">
        <f t="shared" si="45"/>
        <v>9.096194375</v>
      </c>
    </row>
    <row r="21">
      <c r="B21" s="17" t="s">
        <v>42</v>
      </c>
      <c r="C21" s="35" t="s">
        <v>41</v>
      </c>
      <c r="D21" s="36">
        <v>128.0</v>
      </c>
      <c r="E21" s="36">
        <v>192.0</v>
      </c>
      <c r="F21" s="26" t="s">
        <v>37</v>
      </c>
      <c r="G21" s="27">
        <v>5083.0</v>
      </c>
      <c r="H21" s="27">
        <f>8807412/1000</f>
        <v>8807.412</v>
      </c>
      <c r="I21" s="27">
        <v>8806.0</v>
      </c>
      <c r="J21" s="27">
        <v>9393.0</v>
      </c>
      <c r="K21" s="28">
        <f t="shared" si="46"/>
        <v>39.7109375</v>
      </c>
      <c r="L21" s="28">
        <f t="shared" si="47"/>
        <v>68.80790625</v>
      </c>
      <c r="M21" s="17">
        <v>50833.0</v>
      </c>
      <c r="N21" s="29">
        <f>87911188/1000</f>
        <v>87911.188</v>
      </c>
      <c r="O21" s="17">
        <v>87910.0</v>
      </c>
      <c r="P21" s="17">
        <v>88484.0</v>
      </c>
      <c r="Q21" s="29">
        <f t="shared" si="19"/>
        <v>39.71328125</v>
      </c>
      <c r="R21" s="30">
        <f t="shared" si="20"/>
        <v>68.68061563</v>
      </c>
      <c r="S21" s="17">
        <v>203253.0</v>
      </c>
      <c r="T21" s="29">
        <f>351511280/1000</f>
        <v>351511.28</v>
      </c>
      <c r="U21" s="17">
        <v>351510.0</v>
      </c>
      <c r="V21" s="17">
        <v>352091.0</v>
      </c>
      <c r="W21" s="29">
        <f t="shared" si="21"/>
        <v>39.69785156</v>
      </c>
      <c r="X21" s="31">
        <f t="shared" si="22"/>
        <v>68.65454688</v>
      </c>
      <c r="Y21" s="17">
        <v>406503.0</v>
      </c>
      <c r="Z21" s="29">
        <f>703001311/1000</f>
        <v>703001.311</v>
      </c>
      <c r="AA21" s="17">
        <v>703000.0</v>
      </c>
      <c r="AB21" s="17">
        <v>703617.0</v>
      </c>
      <c r="AC21" s="29">
        <f t="shared" si="23"/>
        <v>39.69755859</v>
      </c>
      <c r="AD21" s="31">
        <f t="shared" si="24"/>
        <v>68.65247178</v>
      </c>
      <c r="AE21" s="17">
        <v>508123.0</v>
      </c>
      <c r="AF21" s="37">
        <f>878794100/1000</f>
        <v>878794.1</v>
      </c>
      <c r="AG21" s="17">
        <v>878771.0</v>
      </c>
      <c r="AH21" s="17">
        <v>879378.0</v>
      </c>
      <c r="AI21" s="32">
        <f t="shared" si="25"/>
        <v>39.69710938</v>
      </c>
      <c r="AJ21" s="30">
        <f t="shared" si="26"/>
        <v>68.65578906</v>
      </c>
      <c r="AK21" s="33">
        <f t="shared" si="27"/>
        <v>607</v>
      </c>
      <c r="AO21" s="17" t="s">
        <v>20</v>
      </c>
      <c r="AP21" s="18" t="s">
        <v>17</v>
      </c>
      <c r="AQ21" s="18">
        <v>128.0</v>
      </c>
      <c r="AR21" s="17">
        <v>18765.0</v>
      </c>
      <c r="AS21" s="19">
        <f>2316805/100</f>
        <v>23168.05</v>
      </c>
      <c r="AT21" s="17">
        <v>23106.0</v>
      </c>
      <c r="AU21" s="17">
        <v>24133.0</v>
      </c>
      <c r="AV21" s="19">
        <f t="shared" si="28"/>
        <v>14.66015625</v>
      </c>
      <c r="AW21" s="20">
        <f t="shared" si="29"/>
        <v>18.10003906</v>
      </c>
      <c r="AX21" s="17">
        <v>51915.0</v>
      </c>
      <c r="AY21" s="19">
        <f>5818375/100</f>
        <v>58183.75</v>
      </c>
      <c r="AZ21" s="17">
        <v>58106.0</v>
      </c>
      <c r="BA21" s="17">
        <v>59303.0</v>
      </c>
      <c r="BB21" s="19">
        <f t="shared" si="30"/>
        <v>10.13964844</v>
      </c>
      <c r="BC21" s="20">
        <f t="shared" si="31"/>
        <v>11.36401367</v>
      </c>
      <c r="BD21" s="17">
        <v>96115.0</v>
      </c>
      <c r="BE21" s="19">
        <f>10489885/100</f>
        <v>104898.85</v>
      </c>
      <c r="BF21" s="17">
        <v>104836.0</v>
      </c>
      <c r="BG21" s="17">
        <v>106198.0</v>
      </c>
      <c r="BH21" s="19">
        <f t="shared" si="32"/>
        <v>9.386230469</v>
      </c>
      <c r="BI21" s="20">
        <f t="shared" si="33"/>
        <v>10.24402832</v>
      </c>
      <c r="BJ21" s="17">
        <v>118215.0</v>
      </c>
      <c r="BK21" s="19">
        <f>12825183/100</f>
        <v>128251.83</v>
      </c>
      <c r="BL21" s="17">
        <v>128187.0</v>
      </c>
      <c r="BM21" s="17">
        <v>129618.0</v>
      </c>
      <c r="BN21" s="19">
        <f t="shared" si="34"/>
        <v>9.235546875</v>
      </c>
      <c r="BO21" s="20">
        <f t="shared" si="35"/>
        <v>10.01967422</v>
      </c>
      <c r="BP21" s="3"/>
      <c r="BR21" s="3"/>
      <c r="BS21" s="3"/>
      <c r="BY21" s="17" t="s">
        <v>20</v>
      </c>
      <c r="BZ21" s="18" t="s">
        <v>17</v>
      </c>
      <c r="CA21" s="18">
        <v>128.0</v>
      </c>
      <c r="CB21" s="17">
        <v>18765.0</v>
      </c>
      <c r="CC21" s="19">
        <f>2316805/100</f>
        <v>23168.05</v>
      </c>
      <c r="CD21" s="17">
        <v>23106.0</v>
      </c>
      <c r="CE21" s="17">
        <v>24133.0</v>
      </c>
      <c r="CF21" s="19">
        <f t="shared" si="36"/>
        <v>14.66015625</v>
      </c>
      <c r="CG21" s="20">
        <f t="shared" si="37"/>
        <v>18.10003906</v>
      </c>
      <c r="CH21" s="17">
        <v>51915.0</v>
      </c>
      <c r="CI21" s="19">
        <f>5818375/100</f>
        <v>58183.75</v>
      </c>
      <c r="CJ21" s="17">
        <v>58106.0</v>
      </c>
      <c r="CK21" s="17">
        <v>59303.0</v>
      </c>
      <c r="CL21" s="19">
        <f t="shared" si="38"/>
        <v>10.13964844</v>
      </c>
      <c r="CM21" s="20">
        <f t="shared" si="39"/>
        <v>11.36401367</v>
      </c>
      <c r="CN21" s="17">
        <v>96115.0</v>
      </c>
      <c r="CO21" s="19">
        <f>10489885/100</f>
        <v>104898.85</v>
      </c>
      <c r="CP21" s="17">
        <v>104836.0</v>
      </c>
      <c r="CQ21" s="17">
        <v>106198.0</v>
      </c>
      <c r="CR21" s="19">
        <f t="shared" si="40"/>
        <v>9.386230469</v>
      </c>
      <c r="CS21" s="20">
        <f t="shared" si="41"/>
        <v>10.24402832</v>
      </c>
      <c r="CT21" s="17">
        <v>118215.0</v>
      </c>
      <c r="CU21" s="19">
        <f>12825183/100</f>
        <v>128251.83</v>
      </c>
      <c r="CV21" s="17">
        <v>128187.0</v>
      </c>
      <c r="CW21" s="17">
        <v>129618.0</v>
      </c>
      <c r="CX21" s="19">
        <f t="shared" si="42"/>
        <v>9.235546875</v>
      </c>
      <c r="CY21" s="20">
        <f t="shared" si="43"/>
        <v>10.01967422</v>
      </c>
      <c r="CZ21" s="17">
        <v>560215.0</v>
      </c>
      <c r="DA21" s="19">
        <f>59954143/100</f>
        <v>599541.43</v>
      </c>
      <c r="DB21" s="17">
        <v>599373.0</v>
      </c>
      <c r="DC21" s="17">
        <v>600038.0</v>
      </c>
      <c r="DD21" s="19">
        <f t="shared" si="44"/>
        <v>8.753359375</v>
      </c>
      <c r="DE21" s="20">
        <f t="shared" si="45"/>
        <v>9.367834844</v>
      </c>
    </row>
    <row r="22">
      <c r="B22" s="17" t="s">
        <v>43</v>
      </c>
      <c r="C22" s="35" t="s">
        <v>41</v>
      </c>
      <c r="D22" s="36">
        <v>128.0</v>
      </c>
      <c r="E22" s="26">
        <v>256.0</v>
      </c>
      <c r="F22" s="26" t="s">
        <v>37</v>
      </c>
      <c r="G22" s="27">
        <v>5866.0</v>
      </c>
      <c r="H22" s="27">
        <f>10155325/1000</f>
        <v>10155.325</v>
      </c>
      <c r="I22" s="27">
        <v>10154.0</v>
      </c>
      <c r="J22" s="27">
        <v>10749.0</v>
      </c>
      <c r="K22" s="28">
        <f t="shared" si="46"/>
        <v>45.828125</v>
      </c>
      <c r="L22" s="28">
        <f t="shared" si="47"/>
        <v>79.33847656</v>
      </c>
      <c r="M22" s="17">
        <v>58663.0</v>
      </c>
      <c r="N22" s="29">
        <f>101490122/1000</f>
        <v>101490.122</v>
      </c>
      <c r="O22" s="17">
        <v>101489.0</v>
      </c>
      <c r="P22" s="17">
        <v>102054.0</v>
      </c>
      <c r="Q22" s="29">
        <f t="shared" si="19"/>
        <v>45.83046875</v>
      </c>
      <c r="R22" s="30">
        <f t="shared" si="20"/>
        <v>79.28915781</v>
      </c>
      <c r="S22" s="17">
        <v>234573.0</v>
      </c>
      <c r="T22" s="29">
        <f>405860106/1000</f>
        <v>405860.106</v>
      </c>
      <c r="U22" s="17">
        <v>405859.0</v>
      </c>
      <c r="V22" s="17">
        <v>406409.0</v>
      </c>
      <c r="W22" s="29">
        <f t="shared" si="21"/>
        <v>45.81503906</v>
      </c>
      <c r="X22" s="31">
        <f t="shared" si="22"/>
        <v>79.26955195</v>
      </c>
      <c r="Y22" s="17">
        <v>469143.0</v>
      </c>
      <c r="Z22" s="29">
        <f>811710127/1000</f>
        <v>811710.127</v>
      </c>
      <c r="AA22" s="17">
        <v>811709.0</v>
      </c>
      <c r="AB22" s="17">
        <v>812275.0</v>
      </c>
      <c r="AC22" s="29">
        <f t="shared" si="23"/>
        <v>45.81474609</v>
      </c>
      <c r="AD22" s="31">
        <f t="shared" si="24"/>
        <v>79.26856709</v>
      </c>
      <c r="AE22" s="17">
        <v>586423.0</v>
      </c>
      <c r="AF22" s="32">
        <f>1014630199/1000</f>
        <v>1014630.199</v>
      </c>
      <c r="AG22" s="17">
        <v>1014629.0</v>
      </c>
      <c r="AH22" s="17">
        <v>1015178.0</v>
      </c>
      <c r="AI22" s="32">
        <f t="shared" si="25"/>
        <v>45.81429688</v>
      </c>
      <c r="AJ22" s="30">
        <f t="shared" si="26"/>
        <v>79.2679843</v>
      </c>
      <c r="AK22" s="33">
        <f t="shared" si="27"/>
        <v>549</v>
      </c>
    </row>
    <row r="23">
      <c r="B23" s="17" t="s">
        <v>44</v>
      </c>
      <c r="C23" s="35" t="s">
        <v>41</v>
      </c>
      <c r="D23" s="36">
        <v>128.0</v>
      </c>
      <c r="E23" s="34">
        <v>128.0</v>
      </c>
      <c r="F23" s="26" t="s">
        <v>37</v>
      </c>
      <c r="G23" s="27">
        <v>6515.0</v>
      </c>
      <c r="H23" s="27">
        <f>8316248/1000</f>
        <v>8316.248</v>
      </c>
      <c r="I23" s="27">
        <v>8315.0</v>
      </c>
      <c r="J23" s="27">
        <v>9257.0</v>
      </c>
      <c r="K23" s="28">
        <f t="shared" si="46"/>
        <v>50.8984375</v>
      </c>
      <c r="L23" s="28">
        <f t="shared" si="47"/>
        <v>64.9706875</v>
      </c>
      <c r="M23" s="17">
        <v>65153.0</v>
      </c>
      <c r="N23" s="29">
        <f>83148872/1000</f>
        <v>83148.872</v>
      </c>
      <c r="O23" s="17">
        <v>83148.0</v>
      </c>
      <c r="P23" s="17">
        <v>83691.0</v>
      </c>
      <c r="Q23" s="29">
        <f t="shared" si="19"/>
        <v>50.90078125</v>
      </c>
      <c r="R23" s="30">
        <f t="shared" si="20"/>
        <v>64.96005625</v>
      </c>
      <c r="S23" s="17">
        <v>260533.0</v>
      </c>
      <c r="T23" s="29">
        <f>332436914/1000</f>
        <v>332436.914</v>
      </c>
      <c r="U23" s="17">
        <v>332436.0</v>
      </c>
      <c r="V23" s="17">
        <v>333054.0</v>
      </c>
      <c r="W23" s="29">
        <f t="shared" si="21"/>
        <v>50.88535156</v>
      </c>
      <c r="X23" s="31">
        <f t="shared" si="22"/>
        <v>64.92908477</v>
      </c>
      <c r="Y23" s="17">
        <v>521064.0</v>
      </c>
      <c r="Z23" s="29">
        <f>664861790/1000</f>
        <v>664861.79</v>
      </c>
      <c r="AA23" s="17">
        <v>664861.0</v>
      </c>
      <c r="AB23" s="17">
        <v>665383.0</v>
      </c>
      <c r="AC23" s="29">
        <f t="shared" si="23"/>
        <v>50.88515625</v>
      </c>
      <c r="AD23" s="31">
        <f t="shared" si="24"/>
        <v>64.92790918</v>
      </c>
      <c r="AE23" s="17">
        <v>651325.0</v>
      </c>
      <c r="AF23" s="37">
        <f>831099840/1000</f>
        <v>831099.84</v>
      </c>
      <c r="AG23" s="17">
        <v>831099.0</v>
      </c>
      <c r="AH23" s="17">
        <v>831693.0</v>
      </c>
      <c r="AI23" s="32">
        <f t="shared" si="25"/>
        <v>50.88476563</v>
      </c>
      <c r="AJ23" s="30">
        <f t="shared" si="26"/>
        <v>64.929675</v>
      </c>
      <c r="AK23" s="33">
        <f t="shared" si="27"/>
        <v>594</v>
      </c>
      <c r="AO23" s="17" t="s">
        <v>16</v>
      </c>
      <c r="AP23" s="18" t="s">
        <v>17</v>
      </c>
      <c r="AQ23" s="18">
        <v>64.0</v>
      </c>
      <c r="AR23" s="4"/>
      <c r="AS23" s="4"/>
      <c r="AT23" s="38">
        <f t="shared" ref="AT23:AW23" si="48">1-AT12/AT18</f>
        <v>0.4487626904</v>
      </c>
      <c r="AU23" s="38">
        <f t="shared" si="48"/>
        <v>0.4549937897</v>
      </c>
      <c r="AV23" s="39">
        <f t="shared" si="48"/>
        <v>0.485730834</v>
      </c>
      <c r="AW23" s="39">
        <f t="shared" si="48"/>
        <v>0.4511921888</v>
      </c>
      <c r="AX23" s="4"/>
      <c r="AY23" s="4"/>
      <c r="AZ23" s="38">
        <f t="shared" ref="AZ23:BC23" si="49">1-AZ12/AZ18</f>
        <v>0.402771151</v>
      </c>
      <c r="BA23" s="38">
        <f t="shared" si="49"/>
        <v>0.4073546076</v>
      </c>
      <c r="BB23" s="39">
        <f t="shared" si="49"/>
        <v>0.4848164952</v>
      </c>
      <c r="BC23" s="39">
        <f t="shared" si="49"/>
        <v>0.4039189069</v>
      </c>
      <c r="BD23" s="4"/>
      <c r="BE23" s="4"/>
      <c r="BF23" s="38">
        <f t="shared" ref="BF23:BI23" si="50">1-BF12/BF18</f>
        <v>0.3871767703</v>
      </c>
      <c r="BG23" s="38">
        <f t="shared" si="50"/>
        <v>0.3883551578</v>
      </c>
      <c r="BH23" s="39">
        <f t="shared" si="50"/>
        <v>0.484521779</v>
      </c>
      <c r="BI23" s="39">
        <f t="shared" si="50"/>
        <v>0.3878433625</v>
      </c>
      <c r="BJ23" s="4"/>
      <c r="BK23" s="4"/>
      <c r="BL23" s="38">
        <f t="shared" ref="BL23:BO23" si="51">1-BL12/BL18</f>
        <v>0.383018144</v>
      </c>
      <c r="BM23" s="38">
        <f t="shared" si="51"/>
        <v>0.3835935573</v>
      </c>
      <c r="BN23" s="39">
        <f t="shared" si="51"/>
        <v>0.4844531397</v>
      </c>
      <c r="BO23" s="39">
        <f t="shared" si="51"/>
        <v>0.3834923734</v>
      </c>
      <c r="BP23" s="4"/>
      <c r="BQ23" s="4"/>
      <c r="BR23" s="4"/>
      <c r="BS23" s="4"/>
      <c r="BT23" s="4"/>
      <c r="BU23" s="4"/>
      <c r="BV23" s="4"/>
      <c r="BW23" s="4"/>
      <c r="BX23" s="4"/>
      <c r="BY23" s="17" t="s">
        <v>16</v>
      </c>
      <c r="BZ23" s="18" t="s">
        <v>17</v>
      </c>
      <c r="CA23" s="18">
        <v>64.0</v>
      </c>
      <c r="CB23" s="4"/>
      <c r="CC23" s="4"/>
      <c r="CD23" s="38">
        <f t="shared" ref="CD23:CG23" si="52">1-CD12/CD18</f>
        <v>0.3174968274</v>
      </c>
      <c r="CE23" s="38">
        <f t="shared" si="52"/>
        <v>0.3261854314</v>
      </c>
      <c r="CF23" s="39">
        <f t="shared" si="52"/>
        <v>0.2865943555</v>
      </c>
      <c r="CG23" s="39">
        <f t="shared" si="52"/>
        <v>0.3207301173</v>
      </c>
      <c r="CH23" s="4"/>
      <c r="CI23" s="4"/>
      <c r="CJ23" s="38">
        <f t="shared" ref="CJ23:CM23" si="53">1-CJ12/CJ18</f>
        <v>0.1277363208</v>
      </c>
      <c r="CK23" s="38">
        <f t="shared" si="53"/>
        <v>0.1417187557</v>
      </c>
      <c r="CL23" s="39">
        <f t="shared" si="53"/>
        <v>0.2427339293</v>
      </c>
      <c r="CM23" s="39">
        <f t="shared" si="53"/>
        <v>0.1299487686</v>
      </c>
      <c r="CN23" s="4"/>
      <c r="CO23" s="4"/>
      <c r="CP23" s="38">
        <f t="shared" ref="CP23:CS23" si="54">1-CP12/CP18</f>
        <v>0.05771355141</v>
      </c>
      <c r="CQ23" s="38">
        <f t="shared" si="54"/>
        <v>0.06811651422</v>
      </c>
      <c r="CR23" s="39">
        <f t="shared" si="54"/>
        <v>0.2286983529</v>
      </c>
      <c r="CS23" s="40">
        <f t="shared" si="54"/>
        <v>0.05844752394</v>
      </c>
      <c r="CT23" s="4"/>
      <c r="CU23" s="4"/>
      <c r="CV23" s="38">
        <f t="shared" ref="CV23:CY23" si="55">1-CV12/CV18</f>
        <v>0.04048958051</v>
      </c>
      <c r="CW23" s="38">
        <f t="shared" si="55"/>
        <v>0.04975469819</v>
      </c>
      <c r="CX23" s="39">
        <f t="shared" si="55"/>
        <v>0.2254294742</v>
      </c>
      <c r="CY23" s="40">
        <f t="shared" si="55"/>
        <v>0.04100221872</v>
      </c>
      <c r="CZ23" s="4"/>
      <c r="DA23" s="4"/>
      <c r="DB23" s="38">
        <f t="shared" ref="DB23:DE23" si="56">1-DB12/DB18</f>
        <v>-0.02478236167</v>
      </c>
      <c r="DC23" s="38">
        <f t="shared" si="56"/>
        <v>-0.0206632836</v>
      </c>
      <c r="DD23" s="39">
        <f t="shared" si="56"/>
        <v>0.2136487286</v>
      </c>
      <c r="DE23" s="41">
        <f t="shared" si="56"/>
        <v>-0.02460170819</v>
      </c>
    </row>
    <row r="24">
      <c r="B24" s="17" t="s">
        <v>45</v>
      </c>
      <c r="C24" s="35" t="s">
        <v>41</v>
      </c>
      <c r="D24" s="36">
        <v>128.0</v>
      </c>
      <c r="E24" s="36">
        <v>192.0</v>
      </c>
      <c r="F24" s="26" t="s">
        <v>37</v>
      </c>
      <c r="G24" s="27">
        <v>7793.0</v>
      </c>
      <c r="H24" s="27">
        <f>9966871/100</f>
        <v>99668.71</v>
      </c>
      <c r="I24" s="27">
        <v>9966.0</v>
      </c>
      <c r="J24" s="27">
        <v>10525.0</v>
      </c>
      <c r="K24" s="28">
        <f t="shared" si="46"/>
        <v>60.8828125</v>
      </c>
      <c r="L24" s="28">
        <f t="shared" si="47"/>
        <v>778.6617969</v>
      </c>
      <c r="M24" s="17">
        <v>77933.0</v>
      </c>
      <c r="N24" s="29">
        <f>99682781/1000</f>
        <v>99682.781</v>
      </c>
      <c r="O24" s="17">
        <v>99682.0</v>
      </c>
      <c r="P24" s="17">
        <v>100240.0</v>
      </c>
      <c r="Q24" s="29">
        <f t="shared" si="19"/>
        <v>60.88515625</v>
      </c>
      <c r="R24" s="30">
        <f t="shared" si="20"/>
        <v>77.87717266</v>
      </c>
      <c r="S24" s="17">
        <v>311653.0</v>
      </c>
      <c r="T24" s="29">
        <f>398651806/1000</f>
        <v>398651.806</v>
      </c>
      <c r="U24" s="17">
        <v>398651.0</v>
      </c>
      <c r="V24" s="17">
        <v>399168.0</v>
      </c>
      <c r="W24" s="29">
        <f t="shared" si="21"/>
        <v>60.86972656</v>
      </c>
      <c r="X24" s="31">
        <f t="shared" si="22"/>
        <v>77.86168086</v>
      </c>
      <c r="Y24" s="17">
        <v>623304.0</v>
      </c>
      <c r="Z24" s="29">
        <f>797289707/1000</f>
        <v>797289.707</v>
      </c>
      <c r="AA24" s="17">
        <v>797289.0</v>
      </c>
      <c r="AB24" s="17">
        <v>797751.0</v>
      </c>
      <c r="AC24" s="29">
        <f t="shared" si="23"/>
        <v>60.86953125</v>
      </c>
      <c r="AD24" s="31">
        <f t="shared" si="24"/>
        <v>77.86032295</v>
      </c>
      <c r="AE24" s="17">
        <v>779125.0</v>
      </c>
      <c r="AF24" s="32">
        <f>996634773/1000</f>
        <v>996634.773</v>
      </c>
      <c r="AG24" s="17">
        <v>996634.0</v>
      </c>
      <c r="AH24" s="17">
        <v>997138.0</v>
      </c>
      <c r="AI24" s="32">
        <f t="shared" si="25"/>
        <v>60.86914063</v>
      </c>
      <c r="AJ24" s="30">
        <f t="shared" si="26"/>
        <v>77.86209164</v>
      </c>
      <c r="AK24" s="33">
        <f t="shared" si="27"/>
        <v>504</v>
      </c>
      <c r="AO24" s="17" t="s">
        <v>18</v>
      </c>
      <c r="AP24" s="18" t="s">
        <v>17</v>
      </c>
      <c r="AQ24" s="18">
        <v>64.0</v>
      </c>
      <c r="AR24" s="4"/>
      <c r="AS24" s="4"/>
      <c r="AT24" s="38">
        <f t="shared" ref="AT24:AW24" si="57">1-AT13/AT19</f>
        <v>0.4492006189</v>
      </c>
      <c r="AU24" s="38">
        <f t="shared" si="57"/>
        <v>0.4563465661</v>
      </c>
      <c r="AV24" s="39">
        <f t="shared" si="57"/>
        <v>0.4858092425</v>
      </c>
      <c r="AW24" s="39">
        <f t="shared" si="57"/>
        <v>0.4522281895</v>
      </c>
      <c r="AX24" s="4"/>
      <c r="AY24" s="4"/>
      <c r="AZ24" s="42">
        <f t="shared" ref="AZ24:BC24" si="58">1-AZ13/AZ19</f>
        <v>0.4033306566</v>
      </c>
      <c r="BA24" s="38">
        <f t="shared" si="58"/>
        <v>0.4070936614</v>
      </c>
      <c r="BB24" s="39">
        <f t="shared" si="58"/>
        <v>0.4848081864</v>
      </c>
      <c r="BC24" s="39">
        <f t="shared" si="58"/>
        <v>0.4042921252</v>
      </c>
      <c r="BD24" s="4"/>
      <c r="BE24" s="4"/>
      <c r="BF24" s="38">
        <f t="shared" ref="BF24:BI24" si="59">1-BF13/BF19</f>
        <v>0.3858348798</v>
      </c>
      <c r="BG24" s="38">
        <f t="shared" si="59"/>
        <v>0.3882156889</v>
      </c>
      <c r="BH24" s="39">
        <f t="shared" si="59"/>
        <v>0.4844848299</v>
      </c>
      <c r="BI24" s="39">
        <f t="shared" si="59"/>
        <v>0.3868978051</v>
      </c>
      <c r="BJ24" s="4"/>
      <c r="BK24" s="4"/>
      <c r="BL24" s="38">
        <f t="shared" ref="BL24:BO24" si="60">1-BL13/BL19</f>
        <v>0.3816704247</v>
      </c>
      <c r="BM24" s="38">
        <f t="shared" si="60"/>
        <v>0.3821525447</v>
      </c>
      <c r="BN24" s="39">
        <f t="shared" si="60"/>
        <v>0.484409472</v>
      </c>
      <c r="BO24" s="39">
        <f t="shared" si="60"/>
        <v>0.3825047251</v>
      </c>
      <c r="BP24" s="4"/>
      <c r="BQ24" s="4"/>
      <c r="BR24" s="4"/>
      <c r="BS24" s="4"/>
      <c r="BT24" s="4"/>
      <c r="BU24" s="4"/>
      <c r="BV24" s="4"/>
      <c r="BW24" s="4"/>
      <c r="BX24" s="4"/>
      <c r="BY24" s="17" t="s">
        <v>18</v>
      </c>
      <c r="BZ24" s="18" t="s">
        <v>17</v>
      </c>
      <c r="CA24" s="18">
        <v>64.0</v>
      </c>
      <c r="CB24" s="4"/>
      <c r="CC24" s="4"/>
      <c r="CD24" s="38">
        <f t="shared" ref="CD24:CG24" si="61">1-CD13/CD19</f>
        <v>0.3186416472</v>
      </c>
      <c r="CE24" s="38">
        <f t="shared" si="61"/>
        <v>0.3354402306</v>
      </c>
      <c r="CF24" s="39">
        <f t="shared" si="61"/>
        <v>0.2867693606</v>
      </c>
      <c r="CG24" s="39">
        <f t="shared" si="61"/>
        <v>0.3225287598</v>
      </c>
      <c r="CH24" s="4"/>
      <c r="CI24" s="4"/>
      <c r="CJ24" s="42">
        <f t="shared" ref="CJ24:CM24" si="62">1-CJ13/CJ19</f>
        <v>0.1276433024</v>
      </c>
      <c r="CK24" s="38">
        <f t="shared" si="62"/>
        <v>0.142204707</v>
      </c>
      <c r="CL24" s="39">
        <f t="shared" si="62"/>
        <v>0.2393724924</v>
      </c>
      <c r="CM24" s="39">
        <f t="shared" si="62"/>
        <v>0.1295988588</v>
      </c>
      <c r="CN24" s="4"/>
      <c r="CO24" s="4"/>
      <c r="CP24" s="38">
        <f t="shared" ref="CP24:CS24" si="63">1-CP13/CP19</f>
        <v>0.05454216268</v>
      </c>
      <c r="CQ24" s="38">
        <f t="shared" si="63"/>
        <v>0.0664371165</v>
      </c>
      <c r="CR24" s="39">
        <f t="shared" si="63"/>
        <v>0.2241648135</v>
      </c>
      <c r="CS24" s="40">
        <f t="shared" si="63"/>
        <v>0.05596173029</v>
      </c>
      <c r="CT24" s="4"/>
      <c r="CU24" s="4"/>
      <c r="CV24" s="38">
        <f t="shared" ref="CV24:CY24" si="64">1-CV13/CV19</f>
        <v>0.03681886509</v>
      </c>
      <c r="CW24" s="38">
        <f t="shared" si="64"/>
        <v>0.04755643419</v>
      </c>
      <c r="CX24" s="39">
        <f t="shared" si="64"/>
        <v>0.2206206795</v>
      </c>
      <c r="CY24" s="40">
        <f t="shared" si="64"/>
        <v>0.03800094737</v>
      </c>
      <c r="CZ24" s="4"/>
      <c r="DA24" s="4"/>
      <c r="DB24" s="38">
        <f t="shared" ref="DB24:DE24" si="65">1-DB13/DB19</f>
        <v>-0.03001344141</v>
      </c>
      <c r="DC24" s="38">
        <f t="shared" si="65"/>
        <v>-0.02517266737</v>
      </c>
      <c r="DD24" s="39">
        <f t="shared" si="65"/>
        <v>0.2078408059</v>
      </c>
      <c r="DE24" s="41">
        <f t="shared" si="65"/>
        <v>-0.02980228595</v>
      </c>
    </row>
    <row r="25">
      <c r="B25" s="17" t="s">
        <v>46</v>
      </c>
      <c r="C25" s="35" t="s">
        <v>41</v>
      </c>
      <c r="D25" s="36">
        <v>128.0</v>
      </c>
      <c r="E25" s="26">
        <v>256.0</v>
      </c>
      <c r="F25" s="26" t="s">
        <v>37</v>
      </c>
      <c r="G25" s="27">
        <v>9068.0</v>
      </c>
      <c r="H25" s="27">
        <f>11536787/1000</f>
        <v>11536.787</v>
      </c>
      <c r="I25" s="27">
        <v>11536.0</v>
      </c>
      <c r="J25" s="27">
        <v>11975.0</v>
      </c>
      <c r="K25" s="28">
        <f t="shared" si="46"/>
        <v>70.84375</v>
      </c>
      <c r="L25" s="28">
        <f t="shared" si="47"/>
        <v>90.13114844</v>
      </c>
      <c r="M25" s="17">
        <v>90683.0</v>
      </c>
      <c r="N25" s="29">
        <f>115327686/1000</f>
        <v>115327.686</v>
      </c>
      <c r="O25" s="17">
        <v>115327.0</v>
      </c>
      <c r="P25" s="17">
        <v>115800.0</v>
      </c>
      <c r="Q25" s="29">
        <f t="shared" si="19"/>
        <v>70.84609375</v>
      </c>
      <c r="R25" s="30">
        <f t="shared" si="20"/>
        <v>90.09975469</v>
      </c>
      <c r="S25" s="17">
        <v>362653.0</v>
      </c>
      <c r="T25" s="29">
        <f>461133656/1000</f>
        <v>461133.656</v>
      </c>
      <c r="U25" s="17">
        <v>461133.0</v>
      </c>
      <c r="V25" s="17">
        <v>461568.0</v>
      </c>
      <c r="W25" s="29">
        <f t="shared" si="21"/>
        <v>70.83066406</v>
      </c>
      <c r="X25" s="31">
        <f t="shared" si="22"/>
        <v>90.06516719</v>
      </c>
      <c r="Y25" s="17">
        <v>725304.0</v>
      </c>
      <c r="Z25" s="29">
        <f>922286686/1000</f>
        <v>922286.686</v>
      </c>
      <c r="AA25" s="17">
        <v>922286.0</v>
      </c>
      <c r="AB25" s="17">
        <v>923386.0</v>
      </c>
      <c r="AC25" s="29">
        <f t="shared" si="23"/>
        <v>70.83046875</v>
      </c>
      <c r="AD25" s="31">
        <f t="shared" si="24"/>
        <v>90.06705918</v>
      </c>
      <c r="AE25" s="17">
        <v>906625.0</v>
      </c>
      <c r="AF25" s="32">
        <f>1152875673/1000</f>
        <v>1152875.673</v>
      </c>
      <c r="AG25" s="17">
        <v>1152875.0</v>
      </c>
      <c r="AH25" s="17">
        <v>1153291.0</v>
      </c>
      <c r="AI25" s="32">
        <f t="shared" si="25"/>
        <v>70.83007813</v>
      </c>
      <c r="AJ25" s="30">
        <f t="shared" si="26"/>
        <v>90.06841195</v>
      </c>
      <c r="AK25" s="33">
        <f t="shared" si="27"/>
        <v>416</v>
      </c>
      <c r="AO25" s="17" t="s">
        <v>19</v>
      </c>
      <c r="AP25" s="18" t="s">
        <v>17</v>
      </c>
      <c r="AQ25" s="18">
        <v>128.0</v>
      </c>
      <c r="AR25" s="4"/>
      <c r="AS25" s="4"/>
      <c r="AT25" s="38">
        <f t="shared" ref="AT25:AW25" si="66">1-AT14/AT20</f>
        <v>0.3729206794</v>
      </c>
      <c r="AU25" s="38">
        <f t="shared" si="66"/>
        <v>0.3651787937</v>
      </c>
      <c r="AV25" s="39">
        <f t="shared" si="66"/>
        <v>0.4675997649</v>
      </c>
      <c r="AW25" s="39">
        <f t="shared" si="66"/>
        <v>0.3744056871</v>
      </c>
      <c r="AX25" s="4"/>
      <c r="AY25" s="4"/>
      <c r="AZ25" s="38">
        <f t="shared" ref="AZ25:BC25" si="67">1-AZ14/AZ20</f>
        <v>0.2422444452</v>
      </c>
      <c r="BA25" s="38">
        <f t="shared" si="67"/>
        <v>0.2402769188</v>
      </c>
      <c r="BB25" s="39">
        <f t="shared" si="67"/>
        <v>0.4383882132</v>
      </c>
      <c r="BC25" s="39">
        <f t="shared" si="67"/>
        <v>0.2427478647</v>
      </c>
      <c r="BD25" s="4"/>
      <c r="BE25" s="4"/>
      <c r="BF25" s="38">
        <f t="shared" ref="BF25:BI25" si="68">1-BF14/BF20</f>
        <v>0.2030968248</v>
      </c>
      <c r="BG25" s="38">
        <f t="shared" si="68"/>
        <v>0.2028236881</v>
      </c>
      <c r="BH25" s="39">
        <f t="shared" si="68"/>
        <v>0.4307713202</v>
      </c>
      <c r="BI25" s="39">
        <f t="shared" si="68"/>
        <v>0.2034506231</v>
      </c>
      <c r="BJ25" s="4"/>
      <c r="BK25" s="4"/>
      <c r="BL25" s="38">
        <f t="shared" ref="BL25:BO25" si="69">1-BL14/BL20</f>
        <v>0.1940825364</v>
      </c>
      <c r="BM25" s="38">
        <f t="shared" si="69"/>
        <v>0.1938553884</v>
      </c>
      <c r="BN25" s="39">
        <f t="shared" si="69"/>
        <v>0.4290981065</v>
      </c>
      <c r="BO25" s="39">
        <f t="shared" si="69"/>
        <v>0.1943995173</v>
      </c>
      <c r="BP25" s="4"/>
      <c r="BQ25" s="4"/>
      <c r="BR25" s="4"/>
      <c r="BS25" s="4"/>
      <c r="BT25" s="4"/>
      <c r="BU25" s="4"/>
      <c r="BV25" s="4"/>
      <c r="BW25" s="4"/>
      <c r="BX25" s="4"/>
      <c r="BY25" s="17" t="s">
        <v>19</v>
      </c>
      <c r="BZ25" s="18" t="s">
        <v>17</v>
      </c>
      <c r="CA25" s="18">
        <v>128.0</v>
      </c>
      <c r="CB25" s="4"/>
      <c r="CC25" s="4"/>
      <c r="CD25" s="38">
        <f t="shared" ref="CD25:CG25" si="70">1-CD14/CD20</f>
        <v>0.1943179828</v>
      </c>
      <c r="CE25" s="38">
        <f t="shared" si="70"/>
        <v>0.2011532399</v>
      </c>
      <c r="CF25" s="39">
        <f t="shared" si="70"/>
        <v>0.2616592767</v>
      </c>
      <c r="CG25" s="39">
        <f t="shared" si="70"/>
        <v>0.1945629665</v>
      </c>
      <c r="CH25" s="4"/>
      <c r="CI25" s="4"/>
      <c r="CJ25" s="38">
        <f t="shared" ref="CJ25:CM25" si="71">1-CJ14/CJ20</f>
        <v>0.02373323004</v>
      </c>
      <c r="CK25" s="38">
        <f t="shared" si="71"/>
        <v>0.0297017797</v>
      </c>
      <c r="CL25" s="39">
        <f t="shared" si="71"/>
        <v>0.2205765773</v>
      </c>
      <c r="CM25" s="40">
        <f t="shared" si="71"/>
        <v>0.02365540717</v>
      </c>
      <c r="CN25" s="4"/>
      <c r="CO25" s="4"/>
      <c r="CP25" s="38">
        <f t="shared" ref="CP25:CS25" si="72">1-CP14/CP20</f>
        <v>-0.02858682869</v>
      </c>
      <c r="CQ25" s="38">
        <f t="shared" si="72"/>
        <v>-0.02361104419</v>
      </c>
      <c r="CR25" s="39">
        <f t="shared" si="72"/>
        <v>0.2098642903</v>
      </c>
      <c r="CS25" s="41">
        <f t="shared" si="72"/>
        <v>-0.02863124669</v>
      </c>
      <c r="CT25" s="4"/>
      <c r="CU25" s="4"/>
      <c r="CV25" s="38">
        <f t="shared" ref="CV25:CY25" si="73">1-CV14/CV20</f>
        <v>-0.04083499134</v>
      </c>
      <c r="CW25" s="38">
        <f t="shared" si="73"/>
        <v>-0.03540654741</v>
      </c>
      <c r="CX25" s="39">
        <f t="shared" si="73"/>
        <v>0.207511107</v>
      </c>
      <c r="CY25" s="41">
        <f t="shared" si="73"/>
        <v>-0.04076607464</v>
      </c>
      <c r="CZ25" s="4"/>
      <c r="DA25" s="4"/>
      <c r="DB25" s="38">
        <f t="shared" ref="DB25:DE25" si="74">1-DB14/DB20</f>
        <v>-0.08011926038</v>
      </c>
      <c r="DC25" s="38">
        <f t="shared" si="74"/>
        <v>-0.07981728986</v>
      </c>
      <c r="DD25" s="39">
        <f t="shared" si="74"/>
        <v>0.199433765</v>
      </c>
      <c r="DE25" s="41">
        <f t="shared" si="74"/>
        <v>-0.08006584965</v>
      </c>
    </row>
    <row r="26">
      <c r="B26" s="17" t="s">
        <v>47</v>
      </c>
      <c r="C26" s="43" t="s">
        <v>48</v>
      </c>
      <c r="D26" s="36">
        <v>128.0</v>
      </c>
      <c r="E26" s="34">
        <v>128.0</v>
      </c>
      <c r="F26" s="26" t="s">
        <v>37</v>
      </c>
      <c r="G26" s="19"/>
      <c r="H26" s="19"/>
      <c r="I26" s="44"/>
      <c r="J26" s="44"/>
      <c r="K26" s="19"/>
      <c r="L26" s="19"/>
      <c r="M26" s="17">
        <v>43160.0</v>
      </c>
      <c r="N26" s="29">
        <f>73965809/1000</f>
        <v>73965.809</v>
      </c>
      <c r="O26" s="17">
        <v>73964.0</v>
      </c>
      <c r="P26" s="17">
        <v>74808.0</v>
      </c>
      <c r="Q26" s="29">
        <f t="shared" si="19"/>
        <v>33.71875</v>
      </c>
      <c r="R26" s="30">
        <f t="shared" si="20"/>
        <v>57.78578828</v>
      </c>
      <c r="S26" s="17">
        <v>172535.0</v>
      </c>
      <c r="T26" s="29">
        <f>296087657/1000</f>
        <v>296087.657</v>
      </c>
      <c r="U26" s="17">
        <v>296014.0</v>
      </c>
      <c r="V26" s="17">
        <v>297170.0</v>
      </c>
      <c r="W26" s="29">
        <f t="shared" si="21"/>
        <v>33.69824219</v>
      </c>
      <c r="X26" s="31">
        <f t="shared" si="22"/>
        <v>57.82962051</v>
      </c>
      <c r="Y26" s="17">
        <v>345035.0</v>
      </c>
      <c r="Z26" s="29">
        <f>591232619/1000</f>
        <v>591232.619</v>
      </c>
      <c r="AA26" s="17">
        <v>591230.0</v>
      </c>
      <c r="AB26" s="17">
        <v>592769.0</v>
      </c>
      <c r="AC26" s="29">
        <f t="shared" si="23"/>
        <v>33.69482422</v>
      </c>
      <c r="AD26" s="31">
        <f t="shared" si="24"/>
        <v>57.73756045</v>
      </c>
      <c r="AE26" s="17">
        <v>431285.0</v>
      </c>
      <c r="AF26" s="32">
        <f>739023810/1000</f>
        <v>739023.81</v>
      </c>
      <c r="AG26" s="17">
        <v>739021.0</v>
      </c>
      <c r="AH26" s="17">
        <v>740761.0</v>
      </c>
      <c r="AI26" s="32">
        <f t="shared" si="25"/>
        <v>33.69414063</v>
      </c>
      <c r="AJ26" s="30">
        <f t="shared" si="26"/>
        <v>57.73623516</v>
      </c>
      <c r="AK26" s="33">
        <f t="shared" si="27"/>
        <v>1740</v>
      </c>
      <c r="AO26" s="17" t="s">
        <v>20</v>
      </c>
      <c r="AP26" s="18" t="s">
        <v>17</v>
      </c>
      <c r="AQ26" s="18">
        <v>128.0</v>
      </c>
      <c r="AR26" s="4"/>
      <c r="AS26" s="4"/>
      <c r="AT26" s="38">
        <f t="shared" ref="AT26:AW26" si="75">1-AT15/AT21</f>
        <v>0.3822816584</v>
      </c>
      <c r="AU26" s="38">
        <f t="shared" si="75"/>
        <v>0.3725603945</v>
      </c>
      <c r="AV26" s="39">
        <f t="shared" si="75"/>
        <v>0.4674660272</v>
      </c>
      <c r="AW26" s="39">
        <f t="shared" si="75"/>
        <v>0.3834548009</v>
      </c>
      <c r="AX26" s="4"/>
      <c r="AY26" s="4"/>
      <c r="AZ26" s="45">
        <f t="shared" ref="AZ26:BC26" si="76">1-AZ15/AZ21</f>
        <v>0.2614704161</v>
      </c>
      <c r="BA26" s="38">
        <f t="shared" si="76"/>
        <v>0.2603578234</v>
      </c>
      <c r="BB26" s="39">
        <f t="shared" si="76"/>
        <v>0.437676972</v>
      </c>
      <c r="BC26" s="39">
        <f t="shared" si="76"/>
        <v>0.2622495112</v>
      </c>
      <c r="BD26" s="4"/>
      <c r="BE26" s="4"/>
      <c r="BF26" s="38">
        <f t="shared" ref="BF26:BI26" si="77">1-BF15/BF21</f>
        <v>0.2265157007</v>
      </c>
      <c r="BG26" s="38">
        <f t="shared" si="77"/>
        <v>0.2254656397</v>
      </c>
      <c r="BH26" s="39">
        <f t="shared" si="77"/>
        <v>0.4299224887</v>
      </c>
      <c r="BI26" s="39">
        <f t="shared" si="77"/>
        <v>0.226832134</v>
      </c>
      <c r="BJ26" s="4"/>
      <c r="BK26" s="4"/>
      <c r="BL26" s="38">
        <f t="shared" ref="BL26:BO26" si="78">1-BL15/BL21</f>
        <v>0.218493295</v>
      </c>
      <c r="BM26" s="38">
        <f t="shared" si="78"/>
        <v>0.2183261584</v>
      </c>
      <c r="BN26" s="39">
        <f t="shared" si="78"/>
        <v>0.4282197691</v>
      </c>
      <c r="BO26" s="39">
        <f t="shared" si="78"/>
        <v>0.2187765274</v>
      </c>
      <c r="BP26" s="4"/>
      <c r="BQ26" s="4"/>
      <c r="BR26" s="4"/>
      <c r="BS26" s="4"/>
      <c r="BT26" s="4"/>
      <c r="BU26" s="4"/>
      <c r="BV26" s="4"/>
      <c r="BW26" s="4"/>
      <c r="BX26" s="4"/>
      <c r="BY26" s="17" t="s">
        <v>20</v>
      </c>
      <c r="BZ26" s="18" t="s">
        <v>17</v>
      </c>
      <c r="CA26" s="18">
        <v>128.0</v>
      </c>
      <c r="CB26" s="4"/>
      <c r="CC26" s="4"/>
      <c r="CD26" s="38">
        <f t="shared" ref="CD26:CG26" si="79">1-CD15/CD21</f>
        <v>0.2990998009</v>
      </c>
      <c r="CE26" s="38">
        <f t="shared" si="79"/>
        <v>0.2866199809</v>
      </c>
      <c r="CF26" s="39">
        <f t="shared" si="79"/>
        <v>0.2784972022</v>
      </c>
      <c r="CG26" s="39">
        <f t="shared" si="79"/>
        <v>0.2977937289</v>
      </c>
      <c r="CH26" s="4"/>
      <c r="CI26" s="4"/>
      <c r="CJ26" s="45">
        <f t="shared" ref="CJ26:CM26" si="80">1-CJ15/CJ21</f>
        <v>0.2917254672</v>
      </c>
      <c r="CK26" s="38">
        <f t="shared" si="80"/>
        <v>0.2849602887</v>
      </c>
      <c r="CL26" s="39">
        <f t="shared" si="80"/>
        <v>0.2688240393</v>
      </c>
      <c r="CM26" s="39">
        <f t="shared" si="80"/>
        <v>0.2912710164</v>
      </c>
      <c r="CN26" s="4"/>
      <c r="CO26" s="4"/>
      <c r="CP26" s="38">
        <f t="shared" ref="CP26:CS26" si="81">1-CP15/CP21</f>
        <v>0.2895760998</v>
      </c>
      <c r="CQ26" s="38">
        <f t="shared" si="81"/>
        <v>0.2856550971</v>
      </c>
      <c r="CR26" s="39">
        <f t="shared" si="81"/>
        <v>0.2663059876</v>
      </c>
      <c r="CS26" s="39">
        <f t="shared" si="81"/>
        <v>0.2892469269</v>
      </c>
      <c r="CT26" s="4"/>
      <c r="CU26" s="4"/>
      <c r="CV26" s="38">
        <f t="shared" ref="CV26:CY26" si="82">1-CV15/CV21</f>
        <v>0.2889918634</v>
      </c>
      <c r="CW26" s="38">
        <f t="shared" si="82"/>
        <v>0.2849527072</v>
      </c>
      <c r="CX26" s="39">
        <f t="shared" si="82"/>
        <v>0.265753077</v>
      </c>
      <c r="CY26" s="39">
        <f t="shared" si="82"/>
        <v>0.2887737352</v>
      </c>
      <c r="CZ26" s="4"/>
      <c r="DA26" s="4"/>
      <c r="DB26" s="38">
        <f t="shared" ref="DB26:DE26" si="83">1-DB15/DB21</f>
        <v>0.2881761441</v>
      </c>
      <c r="DC26" s="38">
        <f t="shared" si="83"/>
        <v>0.2876617814</v>
      </c>
      <c r="DD26" s="39">
        <f t="shared" si="83"/>
        <v>0.267425899</v>
      </c>
      <c r="DE26" s="39">
        <f t="shared" si="83"/>
        <v>0.28794734</v>
      </c>
    </row>
    <row r="27">
      <c r="B27" s="17" t="s">
        <v>49</v>
      </c>
      <c r="C27" s="43" t="s">
        <v>48</v>
      </c>
      <c r="D27" s="36">
        <v>128.0</v>
      </c>
      <c r="E27" s="36">
        <v>192.0</v>
      </c>
      <c r="F27" s="26" t="s">
        <v>37</v>
      </c>
      <c r="G27" s="19"/>
      <c r="H27" s="19"/>
      <c r="I27" s="44"/>
      <c r="J27" s="44"/>
      <c r="K27" s="19"/>
      <c r="L27" s="19"/>
      <c r="M27" s="17">
        <v>51020.0</v>
      </c>
      <c r="N27" s="29">
        <f>88294975/1000</f>
        <v>88294.975</v>
      </c>
      <c r="O27" s="17">
        <v>88293.0</v>
      </c>
      <c r="P27" s="17">
        <v>89233.0</v>
      </c>
      <c r="Q27" s="29">
        <f t="shared" si="19"/>
        <v>39.859375</v>
      </c>
      <c r="R27" s="30">
        <f t="shared" si="20"/>
        <v>68.98044922</v>
      </c>
      <c r="S27" s="17">
        <v>203975.0</v>
      </c>
      <c r="T27" s="29">
        <f>353465658/1000</f>
        <v>353465.658</v>
      </c>
      <c r="U27" s="17">
        <v>353375.0</v>
      </c>
      <c r="V27" s="17">
        <v>354377.0</v>
      </c>
      <c r="W27" s="29">
        <f t="shared" si="21"/>
        <v>39.83886719</v>
      </c>
      <c r="X27" s="31">
        <f t="shared" si="22"/>
        <v>69.03626133</v>
      </c>
      <c r="Y27" s="17">
        <v>407915.0</v>
      </c>
      <c r="Z27" s="29">
        <f>705875972/1000</f>
        <v>705875.972</v>
      </c>
      <c r="AA27" s="17">
        <v>705874.0</v>
      </c>
      <c r="AB27" s="17">
        <v>706880.0</v>
      </c>
      <c r="AC27" s="29">
        <f t="shared" si="23"/>
        <v>39.83544922</v>
      </c>
      <c r="AD27" s="31">
        <f t="shared" si="24"/>
        <v>68.93320039</v>
      </c>
      <c r="AE27" s="17">
        <v>509885.0</v>
      </c>
      <c r="AF27" s="32">
        <f>882322003/1000</f>
        <v>882322.003</v>
      </c>
      <c r="AG27" s="17">
        <v>882320.0</v>
      </c>
      <c r="AH27" s="17">
        <v>883303.0</v>
      </c>
      <c r="AI27" s="32">
        <f t="shared" si="25"/>
        <v>39.83476563</v>
      </c>
      <c r="AJ27" s="30">
        <f t="shared" si="26"/>
        <v>68.93140648</v>
      </c>
      <c r="AK27" s="33">
        <f t="shared" si="27"/>
        <v>983</v>
      </c>
    </row>
    <row r="28">
      <c r="B28" s="17" t="s">
        <v>50</v>
      </c>
      <c r="C28" s="43" t="s">
        <v>48</v>
      </c>
      <c r="D28" s="36">
        <v>128.0</v>
      </c>
      <c r="E28" s="26">
        <v>256.0</v>
      </c>
      <c r="F28" s="26" t="s">
        <v>37</v>
      </c>
      <c r="G28" s="19"/>
      <c r="H28" s="19"/>
      <c r="I28" s="44"/>
      <c r="J28" s="44"/>
      <c r="K28" s="19"/>
      <c r="L28" s="19"/>
      <c r="M28" s="17">
        <v>58850.0</v>
      </c>
      <c r="N28" s="29">
        <f>101858688/1000</f>
        <v>101858.688</v>
      </c>
      <c r="O28" s="17">
        <v>101857.0</v>
      </c>
      <c r="P28" s="17">
        <v>102684.0</v>
      </c>
      <c r="Q28" s="29">
        <f t="shared" si="19"/>
        <v>45.9765625</v>
      </c>
      <c r="R28" s="30">
        <f t="shared" si="20"/>
        <v>79.5771</v>
      </c>
      <c r="S28" s="17">
        <v>235295.0</v>
      </c>
      <c r="T28" s="29">
        <f>407795386/1000</f>
        <v>407795.386</v>
      </c>
      <c r="U28" s="17">
        <v>407738.0</v>
      </c>
      <c r="V28" s="17">
        <v>408634.0</v>
      </c>
      <c r="W28" s="29">
        <f t="shared" si="21"/>
        <v>45.95605469</v>
      </c>
      <c r="X28" s="31">
        <f t="shared" si="22"/>
        <v>79.64753633</v>
      </c>
      <c r="Y28" s="17">
        <v>470555.0</v>
      </c>
      <c r="Z28" s="29">
        <f>814424736/1000</f>
        <v>814424.736</v>
      </c>
      <c r="AA28" s="17">
        <v>814423.0</v>
      </c>
      <c r="AB28" s="17">
        <v>815243.0</v>
      </c>
      <c r="AC28" s="29">
        <f t="shared" si="23"/>
        <v>45.95263672</v>
      </c>
      <c r="AD28" s="31">
        <f t="shared" si="24"/>
        <v>79.53366563</v>
      </c>
      <c r="AE28" s="17">
        <v>588185.0</v>
      </c>
      <c r="AF28" s="32">
        <f>1018015764/1000</f>
        <v>1018015.764</v>
      </c>
      <c r="AG28" s="17">
        <v>1018014.0</v>
      </c>
      <c r="AH28" s="17">
        <v>1018945.0</v>
      </c>
      <c r="AI28" s="32">
        <f t="shared" si="25"/>
        <v>45.95195313</v>
      </c>
      <c r="AJ28" s="30">
        <f t="shared" si="26"/>
        <v>79.53248156</v>
      </c>
      <c r="AK28" s="33">
        <f t="shared" si="27"/>
        <v>931</v>
      </c>
    </row>
    <row r="29">
      <c r="B29" s="17" t="s">
        <v>51</v>
      </c>
      <c r="C29" s="43" t="s">
        <v>48</v>
      </c>
      <c r="D29" s="36">
        <v>128.0</v>
      </c>
      <c r="E29" s="34">
        <v>128.0</v>
      </c>
      <c r="F29" s="26" t="s">
        <v>37</v>
      </c>
      <c r="G29" s="19"/>
      <c r="H29" s="19"/>
      <c r="I29" s="44"/>
      <c r="J29" s="44"/>
      <c r="K29" s="19"/>
      <c r="L29" s="19"/>
      <c r="M29" s="17">
        <v>65347.0</v>
      </c>
      <c r="N29" s="29">
        <f>83483225/1000</f>
        <v>83483.225</v>
      </c>
      <c r="O29" s="17">
        <v>83482.0</v>
      </c>
      <c r="P29" s="17">
        <v>84384.0</v>
      </c>
      <c r="Q29" s="29">
        <f t="shared" si="19"/>
        <v>51.05234375</v>
      </c>
      <c r="R29" s="30">
        <f t="shared" si="20"/>
        <v>65.22126953</v>
      </c>
      <c r="S29" s="17">
        <v>261277.0</v>
      </c>
      <c r="T29" s="29">
        <f>334110093/1000</f>
        <v>334110.093</v>
      </c>
      <c r="U29" s="17">
        <v>334084.0</v>
      </c>
      <c r="V29" s="17">
        <v>334972.0</v>
      </c>
      <c r="W29" s="29">
        <f t="shared" si="21"/>
        <v>51.03066406</v>
      </c>
      <c r="X29" s="31">
        <f t="shared" si="22"/>
        <v>65.25587754</v>
      </c>
      <c r="Y29" s="17">
        <v>522517.0</v>
      </c>
      <c r="Z29" s="29">
        <f>667561261/1000</f>
        <v>667561.261</v>
      </c>
      <c r="AA29" s="17">
        <v>667560.0</v>
      </c>
      <c r="AB29" s="17">
        <v>668485.0</v>
      </c>
      <c r="AC29" s="29">
        <f t="shared" si="23"/>
        <v>51.02705078</v>
      </c>
      <c r="AD29" s="31">
        <f t="shared" si="24"/>
        <v>65.19152939</v>
      </c>
      <c r="AE29" s="17">
        <v>653137.0</v>
      </c>
      <c r="AF29" s="32">
        <f>834405208/1000</f>
        <v>834405.208</v>
      </c>
      <c r="AG29" s="17">
        <v>834404.0</v>
      </c>
      <c r="AH29" s="17">
        <v>835299.0</v>
      </c>
      <c r="AI29" s="32">
        <f t="shared" si="25"/>
        <v>51.02632813</v>
      </c>
      <c r="AJ29" s="30">
        <f t="shared" si="26"/>
        <v>65.18790688</v>
      </c>
      <c r="AK29" s="33">
        <f t="shared" si="27"/>
        <v>895</v>
      </c>
      <c r="BM29" s="3" t="s">
        <v>52</v>
      </c>
      <c r="CW29" s="3" t="s">
        <v>52</v>
      </c>
    </row>
    <row r="30">
      <c r="B30" s="17" t="s">
        <v>53</v>
      </c>
      <c r="C30" s="43" t="s">
        <v>48</v>
      </c>
      <c r="D30" s="36">
        <v>128.0</v>
      </c>
      <c r="E30" s="36">
        <v>192.0</v>
      </c>
      <c r="F30" s="26" t="s">
        <v>37</v>
      </c>
      <c r="G30" s="19"/>
      <c r="H30" s="19"/>
      <c r="I30" s="44"/>
      <c r="J30" s="44"/>
      <c r="K30" s="19"/>
      <c r="L30" s="19"/>
      <c r="M30" s="17">
        <v>78127.0</v>
      </c>
      <c r="N30" s="29">
        <f>99995116/1000</f>
        <v>99995.116</v>
      </c>
      <c r="O30" s="17">
        <v>99994.0</v>
      </c>
      <c r="P30" s="17">
        <v>100726.0</v>
      </c>
      <c r="Q30" s="29">
        <f t="shared" si="19"/>
        <v>61.03671875</v>
      </c>
      <c r="R30" s="30">
        <f t="shared" si="20"/>
        <v>78.12118438</v>
      </c>
      <c r="S30" s="17">
        <v>312397.0</v>
      </c>
      <c r="T30" s="29">
        <f>400220419/1000</f>
        <v>400220.419</v>
      </c>
      <c r="U30" s="17">
        <v>400169.0</v>
      </c>
      <c r="V30" s="17">
        <v>401080.0</v>
      </c>
      <c r="W30" s="29">
        <f t="shared" si="21"/>
        <v>61.01503906</v>
      </c>
      <c r="X30" s="31">
        <f t="shared" si="22"/>
        <v>78.16805059</v>
      </c>
      <c r="Y30" s="17">
        <v>624757.0</v>
      </c>
      <c r="Z30" s="29">
        <f>799994965/1000</f>
        <v>799994.965</v>
      </c>
      <c r="AA30" s="17">
        <v>799994.0</v>
      </c>
      <c r="AB30" s="17">
        <v>800638.0</v>
      </c>
      <c r="AC30" s="29">
        <f t="shared" si="23"/>
        <v>61.01142578</v>
      </c>
      <c r="AD30" s="31">
        <f t="shared" si="24"/>
        <v>78.1245083</v>
      </c>
      <c r="AE30" s="17">
        <v>780937.0</v>
      </c>
      <c r="AF30" s="32">
        <f>999484895/1000</f>
        <v>999484.895</v>
      </c>
      <c r="AG30" s="17">
        <v>999483.0</v>
      </c>
      <c r="AH30" s="17">
        <v>1000609.0</v>
      </c>
      <c r="AI30" s="32">
        <f t="shared" si="25"/>
        <v>61.01070313</v>
      </c>
      <c r="AJ30" s="30">
        <f t="shared" si="26"/>
        <v>78.08475742</v>
      </c>
      <c r="AK30" s="33">
        <f t="shared" si="27"/>
        <v>1126</v>
      </c>
    </row>
    <row r="31">
      <c r="B31" s="17" t="s">
        <v>54</v>
      </c>
      <c r="C31" s="43" t="s">
        <v>48</v>
      </c>
      <c r="D31" s="36">
        <v>128.0</v>
      </c>
      <c r="E31" s="26">
        <v>256.0</v>
      </c>
      <c r="F31" s="26" t="s">
        <v>37</v>
      </c>
      <c r="G31" s="19"/>
      <c r="H31" s="19"/>
      <c r="I31" s="44"/>
      <c r="J31" s="44"/>
      <c r="K31" s="19"/>
      <c r="L31" s="19"/>
      <c r="M31" s="17">
        <v>90877.0</v>
      </c>
      <c r="N31" s="29">
        <f>115654959/1000</f>
        <v>115654.959</v>
      </c>
      <c r="O31" s="17">
        <v>115654.0</v>
      </c>
      <c r="P31" s="17">
        <v>116255.0</v>
      </c>
      <c r="Q31" s="29">
        <f t="shared" si="19"/>
        <v>70.99765625</v>
      </c>
      <c r="R31" s="30">
        <f t="shared" si="20"/>
        <v>90.35543672</v>
      </c>
      <c r="S31" s="17">
        <v>363397.0</v>
      </c>
      <c r="T31" s="46">
        <f>463080771/1000</f>
        <v>463080.771</v>
      </c>
      <c r="U31" s="17">
        <v>462995.0</v>
      </c>
      <c r="V31" s="17">
        <v>463696.0</v>
      </c>
      <c r="W31" s="29">
        <f t="shared" si="21"/>
        <v>70.97597656</v>
      </c>
      <c r="X31" s="31">
        <f t="shared" si="22"/>
        <v>90.44546309</v>
      </c>
      <c r="Y31" s="17">
        <v>726757.0</v>
      </c>
      <c r="Z31" s="29">
        <f>924883907/1000</f>
        <v>924883.907</v>
      </c>
      <c r="AA31" s="17">
        <v>924883.0</v>
      </c>
      <c r="AB31" s="17">
        <v>925477.0</v>
      </c>
      <c r="AC31" s="29">
        <f t="shared" si="23"/>
        <v>70.97236328</v>
      </c>
      <c r="AD31" s="31">
        <f t="shared" si="24"/>
        <v>90.32069404</v>
      </c>
      <c r="AE31" s="17">
        <v>908437.0</v>
      </c>
      <c r="AF31" s="32">
        <f>1156118773/1000</f>
        <v>1156118.773</v>
      </c>
      <c r="AG31" s="17">
        <v>1156118.0</v>
      </c>
      <c r="AH31" s="17">
        <v>1156680.0</v>
      </c>
      <c r="AI31" s="32">
        <f t="shared" si="25"/>
        <v>70.97164063</v>
      </c>
      <c r="AJ31" s="30">
        <f t="shared" si="26"/>
        <v>90.32177914</v>
      </c>
      <c r="AK31" s="33">
        <f t="shared" si="27"/>
        <v>562</v>
      </c>
    </row>
    <row r="32">
      <c r="B32" s="17" t="s">
        <v>55</v>
      </c>
      <c r="C32" s="47" t="s">
        <v>56</v>
      </c>
      <c r="D32" s="36">
        <v>128.0</v>
      </c>
      <c r="E32" s="34">
        <v>128.0</v>
      </c>
      <c r="F32" s="26" t="s">
        <v>37</v>
      </c>
      <c r="G32" s="19"/>
      <c r="H32" s="19"/>
      <c r="I32" s="44"/>
      <c r="J32" s="44"/>
      <c r="K32" s="19"/>
      <c r="L32" s="19"/>
      <c r="M32" s="17">
        <v>43226.0</v>
      </c>
      <c r="N32" s="29">
        <f>74189155/1000</f>
        <v>74189.155</v>
      </c>
      <c r="O32" s="17">
        <v>74188.0</v>
      </c>
      <c r="P32" s="17">
        <v>74878.0</v>
      </c>
      <c r="Q32" s="29">
        <f t="shared" si="19"/>
        <v>33.7703125</v>
      </c>
      <c r="R32" s="30">
        <f t="shared" si="20"/>
        <v>57.96027734</v>
      </c>
      <c r="S32" s="17">
        <v>172796.0</v>
      </c>
      <c r="T32" s="29">
        <f>296606567/1000</f>
        <v>296606.567</v>
      </c>
      <c r="U32" s="17">
        <v>296570.0</v>
      </c>
      <c r="V32" s="17">
        <v>297416.0</v>
      </c>
      <c r="W32" s="29">
        <f t="shared" si="21"/>
        <v>33.74921875</v>
      </c>
      <c r="X32" s="31">
        <f t="shared" si="22"/>
        <v>57.93097012</v>
      </c>
      <c r="Y32" s="17">
        <v>345556.0</v>
      </c>
      <c r="Z32" s="29">
        <f>592954134/1000</f>
        <v>592954.134</v>
      </c>
      <c r="AA32" s="17">
        <v>592953.0</v>
      </c>
      <c r="AB32" s="17">
        <v>593646.0</v>
      </c>
      <c r="AC32" s="29">
        <f t="shared" si="23"/>
        <v>33.74570313</v>
      </c>
      <c r="AD32" s="31">
        <f t="shared" si="24"/>
        <v>57.90567715</v>
      </c>
      <c r="AE32" s="17">
        <v>431936.0</v>
      </c>
      <c r="AF32" s="32">
        <f>741174227/1000</f>
        <v>741174.227</v>
      </c>
      <c r="AG32" s="17">
        <v>741173.0</v>
      </c>
      <c r="AH32" s="17">
        <v>741917.0</v>
      </c>
      <c r="AI32" s="32">
        <f t="shared" si="25"/>
        <v>33.745</v>
      </c>
      <c r="AJ32" s="30">
        <f t="shared" si="26"/>
        <v>57.90423648</v>
      </c>
      <c r="AK32" s="33">
        <f t="shared" si="27"/>
        <v>744</v>
      </c>
    </row>
    <row r="33">
      <c r="B33" s="17" t="s">
        <v>57</v>
      </c>
      <c r="C33" s="47" t="s">
        <v>56</v>
      </c>
      <c r="D33" s="36">
        <v>128.0</v>
      </c>
      <c r="E33" s="36">
        <v>192.0</v>
      </c>
      <c r="F33" s="26" t="s">
        <v>37</v>
      </c>
      <c r="G33" s="19"/>
      <c r="H33" s="19"/>
      <c r="I33" s="44"/>
      <c r="J33" s="44"/>
      <c r="K33" s="19"/>
      <c r="L33" s="19"/>
      <c r="M33" s="17">
        <v>51086.0</v>
      </c>
      <c r="N33" s="29">
        <f>88518905/1000</f>
        <v>88518.905</v>
      </c>
      <c r="O33" s="17">
        <v>88518.0</v>
      </c>
      <c r="P33" s="17">
        <v>89010.0</v>
      </c>
      <c r="Q33" s="29">
        <f t="shared" si="19"/>
        <v>39.9109375</v>
      </c>
      <c r="R33" s="30">
        <f t="shared" si="20"/>
        <v>69.15539453</v>
      </c>
      <c r="S33" s="17">
        <v>204236.0</v>
      </c>
      <c r="T33" s="29">
        <f>353918493/1000</f>
        <v>353918.493</v>
      </c>
      <c r="U33" s="17">
        <v>353890.0</v>
      </c>
      <c r="V33" s="17">
        <v>354431.0</v>
      </c>
      <c r="W33" s="29">
        <f t="shared" si="21"/>
        <v>39.88984375</v>
      </c>
      <c r="X33" s="31">
        <f t="shared" si="22"/>
        <v>69.12470566</v>
      </c>
      <c r="Y33" s="17">
        <v>408436.0</v>
      </c>
      <c r="Z33" s="29">
        <f>707593933/1000</f>
        <v>707593.933</v>
      </c>
      <c r="AA33" s="17">
        <v>707593.0</v>
      </c>
      <c r="AB33" s="17">
        <v>708065.0</v>
      </c>
      <c r="AC33" s="29">
        <f t="shared" si="23"/>
        <v>39.88632813</v>
      </c>
      <c r="AD33" s="31">
        <f t="shared" si="24"/>
        <v>69.10097002</v>
      </c>
      <c r="AE33" s="17">
        <v>510536.0</v>
      </c>
      <c r="AF33" s="32">
        <f>884473920/1000</f>
        <v>884473.92</v>
      </c>
      <c r="AG33" s="17">
        <v>884473.0</v>
      </c>
      <c r="AH33" s="17">
        <v>884945.0</v>
      </c>
      <c r="AI33" s="32">
        <f t="shared" si="25"/>
        <v>39.885625</v>
      </c>
      <c r="AJ33" s="30">
        <f t="shared" si="26"/>
        <v>69.099525</v>
      </c>
      <c r="AK33" s="33">
        <f t="shared" si="27"/>
        <v>472</v>
      </c>
      <c r="AR33" s="5" t="s">
        <v>58</v>
      </c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7"/>
      <c r="CB33" s="8" t="s">
        <v>58</v>
      </c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7"/>
    </row>
    <row r="34">
      <c r="B34" s="17" t="s">
        <v>59</v>
      </c>
      <c r="C34" s="47" t="s">
        <v>56</v>
      </c>
      <c r="D34" s="36">
        <v>128.0</v>
      </c>
      <c r="E34" s="26">
        <v>256.0</v>
      </c>
      <c r="F34" s="26" t="s">
        <v>37</v>
      </c>
      <c r="G34" s="19"/>
      <c r="H34" s="19"/>
      <c r="I34" s="44"/>
      <c r="J34" s="44"/>
      <c r="K34" s="19"/>
      <c r="L34" s="19"/>
      <c r="M34" s="17">
        <v>58916.0</v>
      </c>
      <c r="N34" s="29">
        <f>102088742/1000</f>
        <v>102088.742</v>
      </c>
      <c r="O34" s="17">
        <v>102088.0</v>
      </c>
      <c r="P34" s="17">
        <v>102460.0</v>
      </c>
      <c r="Q34" s="29">
        <f t="shared" si="19"/>
        <v>46.028125</v>
      </c>
      <c r="R34" s="30">
        <f t="shared" si="20"/>
        <v>79.75682969</v>
      </c>
      <c r="S34" s="17">
        <v>235556.0</v>
      </c>
      <c r="T34" s="29">
        <f>408211807/1000</f>
        <v>408211.807</v>
      </c>
      <c r="U34" s="17">
        <v>408182.0</v>
      </c>
      <c r="V34" s="17">
        <v>408722.0</v>
      </c>
      <c r="W34" s="29">
        <f t="shared" si="21"/>
        <v>46.00703125</v>
      </c>
      <c r="X34" s="31">
        <f t="shared" si="22"/>
        <v>79.72886855</v>
      </c>
      <c r="Y34" s="17">
        <v>471076.0</v>
      </c>
      <c r="Z34" s="29">
        <f>816153817/1000</f>
        <v>816153.817</v>
      </c>
      <c r="AA34" s="17">
        <v>816153.0</v>
      </c>
      <c r="AB34" s="17">
        <v>816583.0</v>
      </c>
      <c r="AC34" s="29">
        <f t="shared" si="23"/>
        <v>46.00351563</v>
      </c>
      <c r="AD34" s="31">
        <f t="shared" si="24"/>
        <v>79.70252119</v>
      </c>
      <c r="AE34" s="17">
        <v>588836.0</v>
      </c>
      <c r="AF34" s="32">
        <f>1020173815/1000</f>
        <v>1020173.815</v>
      </c>
      <c r="AG34" s="17">
        <v>1020173.0</v>
      </c>
      <c r="AH34" s="17">
        <v>1020583.0</v>
      </c>
      <c r="AI34" s="32">
        <f t="shared" si="25"/>
        <v>46.0028125</v>
      </c>
      <c r="AJ34" s="30">
        <f t="shared" si="26"/>
        <v>79.7010793</v>
      </c>
      <c r="AK34" s="33">
        <f t="shared" si="27"/>
        <v>410</v>
      </c>
      <c r="AR34" s="9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1"/>
      <c r="CB34" s="9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1"/>
    </row>
    <row r="35">
      <c r="B35" s="17" t="s">
        <v>60</v>
      </c>
      <c r="C35" s="48" t="s">
        <v>61</v>
      </c>
      <c r="D35" s="36">
        <v>128.0</v>
      </c>
      <c r="E35" s="34">
        <v>128.0</v>
      </c>
      <c r="F35" s="34" t="s">
        <v>39</v>
      </c>
      <c r="G35" s="19"/>
      <c r="H35" s="19"/>
      <c r="I35" s="44"/>
      <c r="J35" s="44"/>
      <c r="K35" s="19"/>
      <c r="L35" s="19"/>
      <c r="M35" s="17">
        <v>109458.0</v>
      </c>
      <c r="N35" s="29">
        <f>157741433/1000</f>
        <v>157741.433</v>
      </c>
      <c r="O35" s="17">
        <v>157707.0</v>
      </c>
      <c r="P35" s="17">
        <v>158754.0</v>
      </c>
      <c r="Q35" s="29">
        <f t="shared" si="19"/>
        <v>85.5140625</v>
      </c>
      <c r="R35" s="30">
        <f t="shared" si="20"/>
        <v>123.2354945</v>
      </c>
      <c r="S35" s="17">
        <v>354109.0</v>
      </c>
      <c r="T35" s="29">
        <f>517437617/1000</f>
        <v>517437.617</v>
      </c>
      <c r="U35" s="17">
        <v>517382.0</v>
      </c>
      <c r="V35" s="17">
        <v>518490.0</v>
      </c>
      <c r="W35" s="29">
        <f t="shared" si="21"/>
        <v>69.16191406</v>
      </c>
      <c r="X35" s="31">
        <f t="shared" si="22"/>
        <v>101.0620346</v>
      </c>
      <c r="Y35" s="17">
        <v>680308.0</v>
      </c>
      <c r="Z35" s="29">
        <f>996844353/1000</f>
        <v>996844.353</v>
      </c>
      <c r="AA35" s="17">
        <v>996820.0</v>
      </c>
      <c r="AB35" s="17">
        <v>997996.0</v>
      </c>
      <c r="AC35" s="29">
        <f t="shared" si="23"/>
        <v>66.43632813</v>
      </c>
      <c r="AD35" s="31">
        <f t="shared" si="24"/>
        <v>97.34808135</v>
      </c>
      <c r="AE35" s="17">
        <v>843408.0</v>
      </c>
      <c r="AF35" s="32">
        <f>1236591209/1000</f>
        <v>1236591.209</v>
      </c>
      <c r="AG35" s="17">
        <v>1236552.0</v>
      </c>
      <c r="AH35" s="17">
        <v>1237469.0</v>
      </c>
      <c r="AI35" s="32">
        <f t="shared" si="25"/>
        <v>65.89125</v>
      </c>
      <c r="AJ35" s="30">
        <f t="shared" si="26"/>
        <v>96.6086882</v>
      </c>
      <c r="AK35" s="33">
        <f t="shared" si="27"/>
        <v>917</v>
      </c>
      <c r="AR35" s="12" t="s">
        <v>1</v>
      </c>
      <c r="AS35" s="13"/>
      <c r="AT35" s="13"/>
      <c r="AU35" s="13"/>
      <c r="AV35" s="13"/>
      <c r="AW35" s="14"/>
      <c r="AX35" s="12" t="s">
        <v>2</v>
      </c>
      <c r="AY35" s="13"/>
      <c r="AZ35" s="13"/>
      <c r="BA35" s="13"/>
      <c r="BB35" s="13"/>
      <c r="BC35" s="14"/>
      <c r="BD35" s="12" t="s">
        <v>3</v>
      </c>
      <c r="BE35" s="13"/>
      <c r="BF35" s="13"/>
      <c r="BG35" s="13"/>
      <c r="BH35" s="13"/>
      <c r="BI35" s="14"/>
      <c r="BJ35" s="12" t="s">
        <v>4</v>
      </c>
      <c r="BK35" s="13"/>
      <c r="BL35" s="13"/>
      <c r="BM35" s="13"/>
      <c r="BN35" s="13"/>
      <c r="BO35" s="14"/>
      <c r="BP35" s="2"/>
      <c r="BQ35" s="2"/>
      <c r="BR35" s="2"/>
      <c r="BS35" s="2"/>
      <c r="BT35" s="2"/>
      <c r="BU35" s="2"/>
      <c r="BV35" s="2"/>
      <c r="BW35" s="2"/>
      <c r="BX35" s="2"/>
      <c r="CB35" s="12" t="s">
        <v>5</v>
      </c>
      <c r="CC35" s="13"/>
      <c r="CD35" s="13"/>
      <c r="CE35" s="13"/>
      <c r="CF35" s="13"/>
      <c r="CG35" s="14"/>
      <c r="CH35" s="12" t="s">
        <v>6</v>
      </c>
      <c r="CI35" s="13"/>
      <c r="CJ35" s="13"/>
      <c r="CK35" s="13"/>
      <c r="CL35" s="13"/>
      <c r="CM35" s="14"/>
      <c r="CN35" s="12" t="s">
        <v>7</v>
      </c>
      <c r="CO35" s="13"/>
      <c r="CP35" s="13"/>
      <c r="CQ35" s="13"/>
      <c r="CR35" s="13"/>
      <c r="CS35" s="14"/>
      <c r="CT35" s="12" t="s">
        <v>8</v>
      </c>
      <c r="CU35" s="13"/>
      <c r="CV35" s="13"/>
      <c r="CW35" s="13"/>
      <c r="CX35" s="13"/>
      <c r="CY35" s="14"/>
      <c r="CZ35" s="2"/>
      <c r="DA35" s="2"/>
      <c r="DB35" s="2"/>
      <c r="DC35" s="2"/>
      <c r="DD35" s="2"/>
      <c r="DE35" s="2"/>
    </row>
    <row r="36">
      <c r="B36" s="17" t="s">
        <v>62</v>
      </c>
      <c r="C36" s="48" t="s">
        <v>61</v>
      </c>
      <c r="D36" s="36">
        <v>128.0</v>
      </c>
      <c r="E36" s="36">
        <v>192.0</v>
      </c>
      <c r="F36" s="34" t="s">
        <v>39</v>
      </c>
      <c r="G36" s="19"/>
      <c r="H36" s="19"/>
      <c r="I36" s="44"/>
      <c r="J36" s="44"/>
      <c r="K36" s="19"/>
      <c r="L36" s="19"/>
      <c r="M36" s="17">
        <v>116190.0</v>
      </c>
      <c r="N36" s="29">
        <f>172328454/1000</f>
        <v>172328.454</v>
      </c>
      <c r="O36" s="17">
        <v>172297.0</v>
      </c>
      <c r="P36" s="17">
        <v>173236.0</v>
      </c>
      <c r="Q36" s="29">
        <f t="shared" si="19"/>
        <v>90.7734375</v>
      </c>
      <c r="R36" s="30">
        <f t="shared" si="20"/>
        <v>134.6316047</v>
      </c>
      <c r="S36" s="17">
        <v>379021.0</v>
      </c>
      <c r="T36" s="29">
        <f>569739884/1000</f>
        <v>569739.884</v>
      </c>
      <c r="U36" s="17">
        <v>569686.0</v>
      </c>
      <c r="V36" s="17">
        <v>570677.0</v>
      </c>
      <c r="W36" s="29">
        <f t="shared" si="21"/>
        <v>74.02753906</v>
      </c>
      <c r="X36" s="31">
        <f t="shared" si="22"/>
        <v>111.2773211</v>
      </c>
      <c r="Y36" s="17">
        <v>729460.0</v>
      </c>
      <c r="Z36" s="29">
        <f>1099439723/1000</f>
        <v>1099439.723</v>
      </c>
      <c r="AA36" s="17">
        <v>1099397.0</v>
      </c>
      <c r="AB36" s="17">
        <v>1100380.0</v>
      </c>
      <c r="AC36" s="29">
        <f t="shared" si="23"/>
        <v>71.23632813</v>
      </c>
      <c r="AD36" s="31">
        <f t="shared" si="24"/>
        <v>107.3671604</v>
      </c>
      <c r="AE36" s="17">
        <v>904680.0</v>
      </c>
      <c r="AF36" s="32">
        <f>1364321357/1000</f>
        <v>1364321.357</v>
      </c>
      <c r="AG36" s="17">
        <v>1364280.0</v>
      </c>
      <c r="AH36" s="17">
        <v>1365255.0</v>
      </c>
      <c r="AI36" s="32">
        <f t="shared" si="25"/>
        <v>70.678125</v>
      </c>
      <c r="AJ36" s="30">
        <f t="shared" si="26"/>
        <v>106.587606</v>
      </c>
      <c r="AK36" s="33">
        <f t="shared" si="27"/>
        <v>975</v>
      </c>
      <c r="AR36" s="15" t="s">
        <v>10</v>
      </c>
      <c r="AS36" s="15" t="s">
        <v>11</v>
      </c>
      <c r="AT36" s="15" t="s">
        <v>12</v>
      </c>
      <c r="AU36" s="15" t="s">
        <v>13</v>
      </c>
      <c r="AV36" s="15" t="s">
        <v>14</v>
      </c>
      <c r="AW36" s="16" t="s">
        <v>15</v>
      </c>
      <c r="AX36" s="15" t="s">
        <v>10</v>
      </c>
      <c r="AY36" s="15" t="s">
        <v>11</v>
      </c>
      <c r="AZ36" s="15" t="s">
        <v>12</v>
      </c>
      <c r="BA36" s="15" t="s">
        <v>13</v>
      </c>
      <c r="BB36" s="15" t="s">
        <v>14</v>
      </c>
      <c r="BC36" s="16" t="s">
        <v>15</v>
      </c>
      <c r="BD36" s="15" t="s">
        <v>10</v>
      </c>
      <c r="BE36" s="15" t="s">
        <v>11</v>
      </c>
      <c r="BF36" s="15" t="s">
        <v>12</v>
      </c>
      <c r="BG36" s="15" t="s">
        <v>13</v>
      </c>
      <c r="BH36" s="15" t="s">
        <v>14</v>
      </c>
      <c r="BI36" s="16" t="s">
        <v>15</v>
      </c>
      <c r="BJ36" s="15" t="s">
        <v>10</v>
      </c>
      <c r="BK36" s="15" t="s">
        <v>11</v>
      </c>
      <c r="BL36" s="15" t="s">
        <v>12</v>
      </c>
      <c r="BM36" s="15" t="s">
        <v>13</v>
      </c>
      <c r="BN36" s="15" t="s">
        <v>14</v>
      </c>
      <c r="BO36" s="16" t="s">
        <v>15</v>
      </c>
      <c r="BP36" s="2"/>
      <c r="BQ36" s="2"/>
      <c r="BR36" s="2"/>
      <c r="BS36" s="2"/>
      <c r="BT36" s="2"/>
      <c r="BU36" s="2"/>
      <c r="BV36" s="2"/>
      <c r="BW36" s="2"/>
      <c r="BX36" s="2"/>
      <c r="CB36" s="15" t="s">
        <v>10</v>
      </c>
      <c r="CC36" s="15" t="s">
        <v>11</v>
      </c>
      <c r="CD36" s="15" t="s">
        <v>12</v>
      </c>
      <c r="CE36" s="15" t="s">
        <v>13</v>
      </c>
      <c r="CF36" s="15" t="s">
        <v>14</v>
      </c>
      <c r="CG36" s="16" t="s">
        <v>15</v>
      </c>
      <c r="CH36" s="15" t="s">
        <v>10</v>
      </c>
      <c r="CI36" s="15" t="s">
        <v>11</v>
      </c>
      <c r="CJ36" s="15" t="s">
        <v>12</v>
      </c>
      <c r="CK36" s="15" t="s">
        <v>13</v>
      </c>
      <c r="CL36" s="15" t="s">
        <v>14</v>
      </c>
      <c r="CM36" s="16" t="s">
        <v>15</v>
      </c>
      <c r="CN36" s="15" t="s">
        <v>10</v>
      </c>
      <c r="CO36" s="15" t="s">
        <v>11</v>
      </c>
      <c r="CP36" s="15" t="s">
        <v>12</v>
      </c>
      <c r="CQ36" s="15" t="s">
        <v>13</v>
      </c>
      <c r="CR36" s="15" t="s">
        <v>14</v>
      </c>
      <c r="CS36" s="16" t="s">
        <v>15</v>
      </c>
      <c r="CT36" s="15" t="s">
        <v>10</v>
      </c>
      <c r="CU36" s="15" t="s">
        <v>11</v>
      </c>
      <c r="CV36" s="15" t="s">
        <v>12</v>
      </c>
      <c r="CW36" s="15" t="s">
        <v>13</v>
      </c>
      <c r="CX36" s="15" t="s">
        <v>14</v>
      </c>
      <c r="CY36" s="16" t="s">
        <v>15</v>
      </c>
      <c r="CZ36" s="2"/>
      <c r="DA36" s="2"/>
      <c r="DB36" s="2"/>
      <c r="DC36" s="2"/>
      <c r="DD36" s="2"/>
      <c r="DE36" s="2"/>
    </row>
    <row r="37">
      <c r="B37" s="17" t="s">
        <v>63</v>
      </c>
      <c r="C37" s="48" t="s">
        <v>61</v>
      </c>
      <c r="D37" s="36">
        <v>128.0</v>
      </c>
      <c r="E37" s="26">
        <v>256.0</v>
      </c>
      <c r="F37" s="34" t="s">
        <v>39</v>
      </c>
      <c r="G37" s="19"/>
      <c r="H37" s="19"/>
      <c r="I37" s="44"/>
      <c r="J37" s="44"/>
      <c r="K37" s="19"/>
      <c r="L37" s="19"/>
      <c r="M37" s="17">
        <v>125226.0</v>
      </c>
      <c r="N37" s="29">
        <f>186528865/1000</f>
        <v>186528.865</v>
      </c>
      <c r="O37" s="17">
        <v>186495.0</v>
      </c>
      <c r="P37" s="17">
        <v>187364.0</v>
      </c>
      <c r="Q37" s="29">
        <f t="shared" si="19"/>
        <v>97.8328125</v>
      </c>
      <c r="R37" s="30">
        <f t="shared" si="20"/>
        <v>145.7256758</v>
      </c>
      <c r="S37" s="17">
        <v>410827.0</v>
      </c>
      <c r="T37" s="29">
        <f>620378499/1000</f>
        <v>620378.499</v>
      </c>
      <c r="U37" s="17">
        <v>620316.0</v>
      </c>
      <c r="V37" s="17">
        <v>621244.0</v>
      </c>
      <c r="W37" s="29">
        <f t="shared" si="21"/>
        <v>80.23964844</v>
      </c>
      <c r="X37" s="31">
        <f t="shared" si="22"/>
        <v>121.1676756</v>
      </c>
      <c r="Y37" s="17">
        <v>791626.0</v>
      </c>
      <c r="Z37" s="29">
        <f>1198617031/1000</f>
        <v>1198617.031</v>
      </c>
      <c r="AA37" s="17">
        <v>1198573.0</v>
      </c>
      <c r="AB37" s="17">
        <v>1199489.0</v>
      </c>
      <c r="AC37" s="29">
        <f t="shared" si="23"/>
        <v>77.30722656</v>
      </c>
      <c r="AD37" s="31">
        <f t="shared" si="24"/>
        <v>117.0524444</v>
      </c>
      <c r="AE37" s="17">
        <v>982026.0</v>
      </c>
      <c r="AF37" s="32">
        <f>1487772394/1000</f>
        <v>1487772.394</v>
      </c>
      <c r="AG37" s="17">
        <v>1487734.0</v>
      </c>
      <c r="AH37" s="17">
        <v>1488586.0</v>
      </c>
      <c r="AI37" s="32">
        <f t="shared" si="25"/>
        <v>76.72078125</v>
      </c>
      <c r="AJ37" s="30">
        <f t="shared" si="26"/>
        <v>116.2322183</v>
      </c>
      <c r="AK37" s="33">
        <f t="shared" si="27"/>
        <v>852</v>
      </c>
      <c r="AO37" s="17" t="s">
        <v>16</v>
      </c>
      <c r="AP37" s="18" t="s">
        <v>17</v>
      </c>
      <c r="AQ37" s="18">
        <v>64.0</v>
      </c>
      <c r="AR37" s="17">
        <v>11421.0</v>
      </c>
      <c r="AS37" s="19">
        <f>1859909/100</f>
        <v>18599.09</v>
      </c>
      <c r="AT37" s="17">
        <v>18590.0</v>
      </c>
      <c r="AU37" s="17">
        <v>19421.0</v>
      </c>
      <c r="AV37" s="19">
        <f t="shared" ref="AV37:AV40" si="84">AR37/(10*AQ37)</f>
        <v>17.8453125</v>
      </c>
      <c r="AW37" s="20">
        <f t="shared" ref="AW37:AW40" si="85">AS37/(10*AQ37)</f>
        <v>29.06107813</v>
      </c>
      <c r="AX37" s="17">
        <v>27807.0</v>
      </c>
      <c r="AY37" s="19">
        <f>4545104/100</f>
        <v>45451.04</v>
      </c>
      <c r="AZ37" s="17">
        <v>45441.0</v>
      </c>
      <c r="BA37" s="17">
        <v>46187.0</v>
      </c>
      <c r="BB37" s="19">
        <f t="shared" ref="BB37:BB40" si="86">AX37/(40*AQ37)</f>
        <v>10.86210938</v>
      </c>
      <c r="BC37" s="20">
        <f t="shared" ref="BC37:BC40" si="87">AY37/(40*AQ37)</f>
        <v>17.7543125</v>
      </c>
      <c r="BD37" s="17">
        <v>49647.0</v>
      </c>
      <c r="BE37" s="19">
        <f>8124177/100</f>
        <v>81241.77</v>
      </c>
      <c r="BF37" s="17">
        <v>81231.0</v>
      </c>
      <c r="BG37" s="17">
        <v>82015.0</v>
      </c>
      <c r="BH37" s="19">
        <f t="shared" ref="BH37:BH40" si="88">BD37/(80*AQ37)</f>
        <v>9.696679688</v>
      </c>
      <c r="BI37" s="20">
        <f t="shared" ref="BI37:BI40" si="89">BE37/(80*AQ37)</f>
        <v>15.8675332</v>
      </c>
      <c r="BJ37" s="17">
        <v>60567.0</v>
      </c>
      <c r="BK37" s="19">
        <f>9917933/100</f>
        <v>99179.33</v>
      </c>
      <c r="BL37" s="17">
        <v>99134.0</v>
      </c>
      <c r="BM37" s="17">
        <v>99949.0</v>
      </c>
      <c r="BN37" s="19">
        <f t="shared" ref="BN37:BN40" si="90">BJ37/(100*AQ37)</f>
        <v>9.46359375</v>
      </c>
      <c r="BO37" s="20">
        <f t="shared" ref="BO37:BO40" si="91">BK37/(100*AQ37)</f>
        <v>15.49677031</v>
      </c>
      <c r="BY37" s="17" t="s">
        <v>16</v>
      </c>
      <c r="BZ37" s="18" t="s">
        <v>17</v>
      </c>
      <c r="CA37" s="18">
        <v>64.0</v>
      </c>
      <c r="CB37" s="17">
        <v>15522.0</v>
      </c>
      <c r="CC37" s="19">
        <f>2213237/100</f>
        <v>22132.37</v>
      </c>
      <c r="CD37" s="17">
        <v>22110.0</v>
      </c>
      <c r="CE37" s="17">
        <v>22754.0</v>
      </c>
      <c r="CF37" s="19">
        <f t="shared" ref="CF37:CF40" si="92">CB37/(10*CA37)</f>
        <v>24.253125</v>
      </c>
      <c r="CG37" s="20">
        <f t="shared" ref="CG37:CG40" si="93">CC37/(10*CA37)</f>
        <v>34.58182813</v>
      </c>
      <c r="CH37" s="17">
        <v>37758.0</v>
      </c>
      <c r="CI37" s="19">
        <f>5401178/100</f>
        <v>54011.78</v>
      </c>
      <c r="CJ37" s="17">
        <v>53996.0</v>
      </c>
      <c r="CK37" s="17">
        <v>54713.0</v>
      </c>
      <c r="CL37" s="19">
        <f t="shared" ref="CL37:CL40" si="94">CH37/(40*CA37)</f>
        <v>14.74921875</v>
      </c>
      <c r="CM37" s="20">
        <f t="shared" ref="CM37:CM40" si="95">CI37/(40*CA37)</f>
        <v>21.09835156</v>
      </c>
      <c r="CN37" s="17">
        <v>67398.0</v>
      </c>
      <c r="CO37" s="19">
        <f>9652791/100</f>
        <v>96527.91</v>
      </c>
      <c r="CP37" s="17">
        <v>96518.0</v>
      </c>
      <c r="CQ37" s="17">
        <v>97255.0</v>
      </c>
      <c r="CR37" s="19">
        <f t="shared" ref="CR37:CR40" si="96">CN37/(80*CA37)</f>
        <v>13.16367188</v>
      </c>
      <c r="CS37" s="20">
        <f t="shared" ref="CS37:CS40" si="97">CO37/(80*CA37)</f>
        <v>18.85310742</v>
      </c>
      <c r="CT37" s="17">
        <v>82218.0</v>
      </c>
      <c r="CU37" s="19">
        <f>11778619/100</f>
        <v>117786.19</v>
      </c>
      <c r="CV37" s="17">
        <v>117776.0</v>
      </c>
      <c r="CW37" s="17">
        <v>118540.0</v>
      </c>
      <c r="CX37" s="19">
        <f t="shared" ref="CX37:CX40" si="98">CT37/(100*CA37)</f>
        <v>12.8465625</v>
      </c>
      <c r="CY37" s="20">
        <f t="shared" ref="CY37:CY40" si="99">CU37/(100*CA37)</f>
        <v>18.40409219</v>
      </c>
    </row>
    <row r="38">
      <c r="B38" s="17" t="s">
        <v>16</v>
      </c>
      <c r="C38" s="18" t="s">
        <v>17</v>
      </c>
      <c r="D38" s="49">
        <v>64.0</v>
      </c>
      <c r="E38" s="34">
        <v>128.0</v>
      </c>
      <c r="F38" s="34" t="s">
        <v>39</v>
      </c>
      <c r="G38" s="19"/>
      <c r="H38" s="19"/>
      <c r="I38" s="44"/>
      <c r="J38" s="44"/>
      <c r="K38" s="19"/>
      <c r="L38" s="19"/>
      <c r="M38" s="17">
        <v>18992.0</v>
      </c>
      <c r="N38" s="29">
        <f>25965432/1000</f>
        <v>25965.432</v>
      </c>
      <c r="O38" s="17">
        <v>25812.0</v>
      </c>
      <c r="P38" s="17">
        <v>27985.0</v>
      </c>
      <c r="Q38" s="29">
        <f t="shared" si="19"/>
        <v>29.675</v>
      </c>
      <c r="R38" s="30">
        <f t="shared" si="20"/>
        <v>40.5709875</v>
      </c>
      <c r="S38" s="17">
        <v>44522.0</v>
      </c>
      <c r="T38" s="29">
        <f>53839580/1000</f>
        <v>53839.58</v>
      </c>
      <c r="U38" s="17">
        <v>53674.0</v>
      </c>
      <c r="V38" s="17">
        <v>55925.0</v>
      </c>
      <c r="W38" s="29">
        <f t="shared" si="21"/>
        <v>17.39140625</v>
      </c>
      <c r="X38" s="31">
        <f t="shared" si="22"/>
        <v>21.03108594</v>
      </c>
      <c r="Y38" s="17">
        <v>78562.0</v>
      </c>
      <c r="Z38" s="29">
        <f>91012434/1000</f>
        <v>91012.434</v>
      </c>
      <c r="AA38" s="17">
        <v>90855.0</v>
      </c>
      <c r="AB38" s="17">
        <v>93347.0</v>
      </c>
      <c r="AC38" s="29">
        <f t="shared" si="23"/>
        <v>15.34414063</v>
      </c>
      <c r="AD38" s="31">
        <f t="shared" si="24"/>
        <v>17.77586602</v>
      </c>
      <c r="AE38" s="17">
        <v>95582.0</v>
      </c>
      <c r="AF38" s="32">
        <f>109604518/1000</f>
        <v>109604.518</v>
      </c>
      <c r="AG38" s="17">
        <v>109455.0</v>
      </c>
      <c r="AH38" s="17">
        <v>111977.0</v>
      </c>
      <c r="AI38" s="32">
        <f t="shared" si="25"/>
        <v>14.9346875</v>
      </c>
      <c r="AJ38" s="30">
        <f t="shared" si="26"/>
        <v>17.12570594</v>
      </c>
      <c r="AK38" s="33">
        <f t="shared" si="27"/>
        <v>2522</v>
      </c>
      <c r="AO38" s="17" t="s">
        <v>18</v>
      </c>
      <c r="AP38" s="18" t="s">
        <v>17</v>
      </c>
      <c r="AQ38" s="18">
        <v>64.0</v>
      </c>
      <c r="AR38" s="17">
        <v>11434.0</v>
      </c>
      <c r="AS38" s="19">
        <f>1859602/100</f>
        <v>18596.02</v>
      </c>
      <c r="AT38" s="17">
        <v>18589.0</v>
      </c>
      <c r="AU38" s="17">
        <v>19107.0</v>
      </c>
      <c r="AV38" s="19">
        <f t="shared" si="84"/>
        <v>17.865625</v>
      </c>
      <c r="AW38" s="20">
        <f t="shared" si="85"/>
        <v>29.05628125</v>
      </c>
      <c r="AX38" s="17">
        <v>27807.0</v>
      </c>
      <c r="AY38" s="19">
        <f>4544742/100</f>
        <v>45447.42</v>
      </c>
      <c r="AZ38" s="17">
        <v>45439.0</v>
      </c>
      <c r="BA38" s="17">
        <v>46068.0</v>
      </c>
      <c r="BB38" s="19">
        <f t="shared" si="86"/>
        <v>10.86210938</v>
      </c>
      <c r="BC38" s="20">
        <f t="shared" si="87"/>
        <v>17.75289844</v>
      </c>
      <c r="BD38" s="17">
        <v>49800.0</v>
      </c>
      <c r="BE38" s="19">
        <f>8122348/100</f>
        <v>81223.48</v>
      </c>
      <c r="BF38" s="17">
        <v>81214.0</v>
      </c>
      <c r="BG38" s="17">
        <v>81956.0</v>
      </c>
      <c r="BH38" s="19">
        <f t="shared" si="88"/>
        <v>9.7265625</v>
      </c>
      <c r="BI38" s="20">
        <f t="shared" si="89"/>
        <v>15.86396094</v>
      </c>
      <c r="BJ38" s="17">
        <v>60760.0</v>
      </c>
      <c r="BK38" s="19">
        <f>9917888/100</f>
        <v>99178.88</v>
      </c>
      <c r="BL38" s="17">
        <v>99136.0</v>
      </c>
      <c r="BM38" s="17">
        <v>99916.0</v>
      </c>
      <c r="BN38" s="19">
        <f t="shared" si="90"/>
        <v>9.49375</v>
      </c>
      <c r="BO38" s="20">
        <f t="shared" si="91"/>
        <v>15.4967</v>
      </c>
      <c r="BY38" s="17" t="s">
        <v>18</v>
      </c>
      <c r="BZ38" s="18" t="s">
        <v>17</v>
      </c>
      <c r="CA38" s="18">
        <v>64.0</v>
      </c>
      <c r="CB38" s="17">
        <v>15535.0</v>
      </c>
      <c r="CC38" s="19">
        <f>2216739/100</f>
        <v>22167.39</v>
      </c>
      <c r="CD38" s="17">
        <v>22139.0</v>
      </c>
      <c r="CE38" s="17">
        <v>22497.0</v>
      </c>
      <c r="CF38" s="19">
        <f t="shared" si="92"/>
        <v>24.2734375</v>
      </c>
      <c r="CG38" s="20">
        <f t="shared" si="93"/>
        <v>34.63654688</v>
      </c>
      <c r="CH38" s="17">
        <v>37831.0</v>
      </c>
      <c r="CI38" s="19">
        <f>5405958/100</f>
        <v>54059.58</v>
      </c>
      <c r="CJ38" s="17">
        <v>54036.0</v>
      </c>
      <c r="CK38" s="17">
        <v>54713.0</v>
      </c>
      <c r="CL38" s="19">
        <f t="shared" si="94"/>
        <v>14.77773438</v>
      </c>
      <c r="CM38" s="20">
        <f t="shared" si="95"/>
        <v>21.11702344</v>
      </c>
      <c r="CN38" s="17">
        <v>67551.0</v>
      </c>
      <c r="CO38" s="19">
        <f>9656367/100</f>
        <v>96563.67</v>
      </c>
      <c r="CP38" s="17">
        <v>9559.0</v>
      </c>
      <c r="CQ38" s="17">
        <v>96892.0</v>
      </c>
      <c r="CR38" s="19">
        <f t="shared" si="96"/>
        <v>13.19355469</v>
      </c>
      <c r="CS38" s="20">
        <f t="shared" si="97"/>
        <v>18.8600918</v>
      </c>
      <c r="CT38" s="17">
        <v>82411.0</v>
      </c>
      <c r="CU38" s="19">
        <f>11783872/100</f>
        <v>117838.72</v>
      </c>
      <c r="CV38" s="17">
        <v>117834.0</v>
      </c>
      <c r="CW38" s="17">
        <v>118156.0</v>
      </c>
      <c r="CX38" s="19">
        <f t="shared" si="98"/>
        <v>12.87671875</v>
      </c>
      <c r="CY38" s="20">
        <f t="shared" si="99"/>
        <v>18.4123</v>
      </c>
    </row>
    <row r="39">
      <c r="B39" s="17" t="s">
        <v>18</v>
      </c>
      <c r="C39" s="18" t="s">
        <v>17</v>
      </c>
      <c r="D39" s="49">
        <v>64.0</v>
      </c>
      <c r="E39" s="34">
        <v>128.0</v>
      </c>
      <c r="F39" s="34" t="s">
        <v>39</v>
      </c>
      <c r="G39" s="19"/>
      <c r="H39" s="19"/>
      <c r="I39" s="44"/>
      <c r="J39" s="44"/>
      <c r="K39" s="19"/>
      <c r="L39" s="19"/>
      <c r="M39" s="17">
        <v>18956.0</v>
      </c>
      <c r="N39" s="29">
        <f>25823124/1000</f>
        <v>25823.124</v>
      </c>
      <c r="O39" s="17">
        <v>25634.0</v>
      </c>
      <c r="P39" s="17">
        <v>27462.0</v>
      </c>
      <c r="Q39" s="29">
        <f t="shared" si="19"/>
        <v>29.61875</v>
      </c>
      <c r="R39" s="30">
        <f t="shared" si="20"/>
        <v>40.34863125</v>
      </c>
      <c r="S39" s="17">
        <v>44366.0</v>
      </c>
      <c r="T39" s="29">
        <f>53303168/1000</f>
        <v>53303.168</v>
      </c>
      <c r="U39" s="17">
        <v>53167.0</v>
      </c>
      <c r="V39" s="17">
        <v>55161.0</v>
      </c>
      <c r="W39" s="29">
        <f t="shared" si="21"/>
        <v>17.33046875</v>
      </c>
      <c r="X39" s="31">
        <f t="shared" si="22"/>
        <v>20.82155</v>
      </c>
      <c r="Y39" s="17">
        <v>91964.0</v>
      </c>
      <c r="Z39" s="29">
        <f>89939396/1000</f>
        <v>89939.396</v>
      </c>
      <c r="AA39" s="17">
        <v>89769.0</v>
      </c>
      <c r="AB39" s="17">
        <v>91964.0</v>
      </c>
      <c r="AC39" s="29">
        <f t="shared" si="23"/>
        <v>17.96171875</v>
      </c>
      <c r="AD39" s="31">
        <f t="shared" si="24"/>
        <v>17.56628828</v>
      </c>
      <c r="AE39" s="17">
        <v>95186.0</v>
      </c>
      <c r="AF39" s="32">
        <f>108323030/1000</f>
        <v>108323.03</v>
      </c>
      <c r="AG39" s="17">
        <v>108141.0</v>
      </c>
      <c r="AH39" s="17">
        <v>110334.0</v>
      </c>
      <c r="AI39" s="32">
        <f t="shared" si="25"/>
        <v>14.8728125</v>
      </c>
      <c r="AJ39" s="30">
        <f t="shared" si="26"/>
        <v>16.92547344</v>
      </c>
      <c r="AK39" s="33">
        <f t="shared" si="27"/>
        <v>2193</v>
      </c>
      <c r="AO39" s="17" t="s">
        <v>19</v>
      </c>
      <c r="AP39" s="18" t="s">
        <v>17</v>
      </c>
      <c r="AQ39" s="18">
        <v>128.0</v>
      </c>
      <c r="AR39" s="17">
        <v>11939.0</v>
      </c>
      <c r="AS39" s="19">
        <f>1858995/100</f>
        <v>18589.95</v>
      </c>
      <c r="AT39" s="17">
        <v>18555.0</v>
      </c>
      <c r="AU39" s="17">
        <v>19134.0</v>
      </c>
      <c r="AV39" s="19">
        <f t="shared" si="84"/>
        <v>9.32734375</v>
      </c>
      <c r="AW39" s="20">
        <f t="shared" si="85"/>
        <v>14.52339844</v>
      </c>
      <c r="AX39" s="17">
        <v>32877.0</v>
      </c>
      <c r="AY39" s="19">
        <f>5337608/100</f>
        <v>53376.08</v>
      </c>
      <c r="AZ39" s="17">
        <v>53335.0</v>
      </c>
      <c r="BA39" s="17">
        <v>53952.0</v>
      </c>
      <c r="BB39" s="19">
        <f t="shared" si="86"/>
        <v>6.421289063</v>
      </c>
      <c r="BC39" s="20">
        <f t="shared" si="87"/>
        <v>10.42501563</v>
      </c>
      <c r="BD39" s="17">
        <v>61163.0</v>
      </c>
      <c r="BE39" s="19">
        <f>9973206/100</f>
        <v>99732.06</v>
      </c>
      <c r="BF39" s="17">
        <v>99721.0</v>
      </c>
      <c r="BG39" s="17">
        <v>100353.0</v>
      </c>
      <c r="BH39" s="19">
        <f t="shared" si="88"/>
        <v>5.972949219</v>
      </c>
      <c r="BI39" s="20">
        <f t="shared" si="89"/>
        <v>9.739458984</v>
      </c>
      <c r="BJ39" s="17">
        <v>75383.0</v>
      </c>
      <c r="BK39" s="19">
        <f>12298918/100</f>
        <v>122989.18</v>
      </c>
      <c r="BL39" s="17">
        <v>122937.0</v>
      </c>
      <c r="BM39" s="17">
        <v>123603.0</v>
      </c>
      <c r="BN39" s="19">
        <f t="shared" si="90"/>
        <v>5.889296875</v>
      </c>
      <c r="BO39" s="20">
        <f t="shared" si="91"/>
        <v>9.608529688</v>
      </c>
      <c r="BY39" s="17" t="s">
        <v>19</v>
      </c>
      <c r="BZ39" s="18" t="s">
        <v>17</v>
      </c>
      <c r="CA39" s="18">
        <v>128.0</v>
      </c>
      <c r="CB39" s="17">
        <v>15572.0</v>
      </c>
      <c r="CC39" s="19">
        <f>2200662/100</f>
        <v>22006.62</v>
      </c>
      <c r="CD39" s="17">
        <v>21994.0</v>
      </c>
      <c r="CE39" s="17">
        <v>22523.0</v>
      </c>
      <c r="CF39" s="19">
        <f t="shared" si="92"/>
        <v>12.165625</v>
      </c>
      <c r="CG39" s="20">
        <f t="shared" si="93"/>
        <v>17.19267188</v>
      </c>
      <c r="CH39" s="17">
        <v>44732.0</v>
      </c>
      <c r="CI39" s="19">
        <f>6338226/100</f>
        <v>63382.26</v>
      </c>
      <c r="CJ39" s="17">
        <v>63358.0</v>
      </c>
      <c r="CK39" s="17">
        <v>63943.0</v>
      </c>
      <c r="CL39" s="19">
        <f t="shared" si="94"/>
        <v>8.73671875</v>
      </c>
      <c r="CM39" s="20">
        <f t="shared" si="95"/>
        <v>12.37934766</v>
      </c>
      <c r="CN39" s="17">
        <v>83612.0</v>
      </c>
      <c r="CO39" s="19">
        <f>11850166/100</f>
        <v>118501.66</v>
      </c>
      <c r="CP39" s="17">
        <v>118490.0</v>
      </c>
      <c r="CQ39" s="17">
        <v>119179.0</v>
      </c>
      <c r="CR39" s="19">
        <f t="shared" si="96"/>
        <v>8.165234375</v>
      </c>
      <c r="CS39" s="20">
        <f t="shared" si="97"/>
        <v>11.57242773</v>
      </c>
      <c r="CT39" s="17">
        <v>103052.0</v>
      </c>
      <c r="CU39" s="19">
        <f>14608450/100</f>
        <v>146084.5</v>
      </c>
      <c r="CV39" s="17">
        <v>146072.0</v>
      </c>
      <c r="CW39" s="17">
        <v>146932.0</v>
      </c>
      <c r="CX39" s="19">
        <f t="shared" si="98"/>
        <v>8.0509375</v>
      </c>
      <c r="CY39" s="20">
        <f t="shared" si="99"/>
        <v>11.41285156</v>
      </c>
    </row>
    <row r="40">
      <c r="B40" s="17" t="s">
        <v>64</v>
      </c>
      <c r="C40" s="18" t="s">
        <v>17</v>
      </c>
      <c r="D40" s="36">
        <v>128.0</v>
      </c>
      <c r="E40" s="34">
        <v>128.0</v>
      </c>
      <c r="F40" s="34" t="s">
        <v>39</v>
      </c>
      <c r="G40" s="19"/>
      <c r="H40" s="19"/>
      <c r="I40" s="44"/>
      <c r="J40" s="44"/>
      <c r="K40" s="19"/>
      <c r="L40" s="19"/>
      <c r="M40" s="17">
        <v>19469.0</v>
      </c>
      <c r="N40" s="32">
        <f>26986155/1000</f>
        <v>26986.155</v>
      </c>
      <c r="O40" s="17">
        <v>26860.0</v>
      </c>
      <c r="P40" s="17">
        <v>28163.0</v>
      </c>
      <c r="Q40" s="29">
        <f t="shared" si="19"/>
        <v>15.21015625</v>
      </c>
      <c r="R40" s="30">
        <f t="shared" si="20"/>
        <v>21.08293359</v>
      </c>
      <c r="S40" s="17">
        <v>56984.0</v>
      </c>
      <c r="T40" s="29">
        <f>81765588/1000</f>
        <v>81765.588</v>
      </c>
      <c r="U40" s="17">
        <v>81674.0</v>
      </c>
      <c r="V40" s="17">
        <v>83089.0</v>
      </c>
      <c r="W40" s="29">
        <f t="shared" si="21"/>
        <v>11.1296875</v>
      </c>
      <c r="X40" s="31">
        <f t="shared" si="22"/>
        <v>15.96984141</v>
      </c>
      <c r="Y40" s="17">
        <v>107004.0</v>
      </c>
      <c r="Z40" s="29">
        <f>154732375/1000</f>
        <v>154732.375</v>
      </c>
      <c r="AA40" s="17">
        <v>154633.0</v>
      </c>
      <c r="AB40" s="17">
        <v>156255.0</v>
      </c>
      <c r="AC40" s="29">
        <f t="shared" si="23"/>
        <v>10.44960938</v>
      </c>
      <c r="AD40" s="31">
        <f t="shared" si="24"/>
        <v>15.1105835</v>
      </c>
      <c r="AE40" s="17">
        <v>132013.0</v>
      </c>
      <c r="AF40" s="3">
        <f>191212.82</f>
        <v>191212.82</v>
      </c>
      <c r="AG40" s="17">
        <v>191106.0</v>
      </c>
      <c r="AH40" s="17">
        <v>192919.0</v>
      </c>
      <c r="AI40" s="32">
        <f t="shared" si="25"/>
        <v>10.31351563</v>
      </c>
      <c r="AJ40" s="30">
        <f t="shared" si="26"/>
        <v>14.93850156</v>
      </c>
      <c r="AK40" s="33">
        <f t="shared" si="27"/>
        <v>1813</v>
      </c>
      <c r="AO40" s="17" t="s">
        <v>20</v>
      </c>
      <c r="AP40" s="18" t="s">
        <v>17</v>
      </c>
      <c r="AQ40" s="18">
        <v>128.0</v>
      </c>
      <c r="AR40" s="17">
        <v>11427.0</v>
      </c>
      <c r="AS40" s="17">
        <f>1850498/100</f>
        <v>18504.98</v>
      </c>
      <c r="AT40" s="17">
        <v>18478.0</v>
      </c>
      <c r="AU40" s="17">
        <v>19067.0</v>
      </c>
      <c r="AV40" s="19">
        <f t="shared" si="84"/>
        <v>8.92734375</v>
      </c>
      <c r="AW40" s="20">
        <f t="shared" si="85"/>
        <v>14.45701563</v>
      </c>
      <c r="AX40" s="17">
        <v>32877.0</v>
      </c>
      <c r="AY40" s="19">
        <f>5325570/100</f>
        <v>53255.7</v>
      </c>
      <c r="AZ40" s="17">
        <v>53236.0</v>
      </c>
      <c r="BA40" s="17">
        <v>53872.0</v>
      </c>
      <c r="BB40" s="19">
        <f t="shared" si="86"/>
        <v>6.421289063</v>
      </c>
      <c r="BC40" s="20">
        <f t="shared" si="87"/>
        <v>10.40150391</v>
      </c>
      <c r="BD40" s="17">
        <v>61477.0</v>
      </c>
      <c r="BE40" s="19">
        <f>9957672/100</f>
        <v>99576.72</v>
      </c>
      <c r="BF40" s="17">
        <v>99567.0</v>
      </c>
      <c r="BG40" s="17">
        <v>100312.0</v>
      </c>
      <c r="BH40" s="19">
        <f t="shared" si="88"/>
        <v>6.003613281</v>
      </c>
      <c r="BI40" s="20">
        <f t="shared" si="89"/>
        <v>9.724289063</v>
      </c>
      <c r="BJ40" s="17">
        <v>75777.0</v>
      </c>
      <c r="BK40" s="19">
        <f>12282071/100</f>
        <v>122820.71</v>
      </c>
      <c r="BL40" s="17">
        <v>122775.0</v>
      </c>
      <c r="BM40" s="17">
        <v>123571.0</v>
      </c>
      <c r="BN40" s="19">
        <f t="shared" si="90"/>
        <v>5.920078125</v>
      </c>
      <c r="BO40" s="20">
        <f t="shared" si="91"/>
        <v>9.595367969</v>
      </c>
      <c r="BY40" s="17" t="s">
        <v>20</v>
      </c>
      <c r="BZ40" s="18" t="s">
        <v>17</v>
      </c>
      <c r="CA40" s="18">
        <v>128.0</v>
      </c>
      <c r="CB40" s="17">
        <v>15606.0</v>
      </c>
      <c r="CC40" s="17">
        <f>2197634/100</f>
        <v>21976.34</v>
      </c>
      <c r="CD40" s="17">
        <v>21968.0</v>
      </c>
      <c r="CE40" s="17">
        <v>22446.0</v>
      </c>
      <c r="CF40" s="19">
        <f t="shared" si="92"/>
        <v>12.1921875</v>
      </c>
      <c r="CG40" s="20">
        <f t="shared" si="93"/>
        <v>17.16901563</v>
      </c>
      <c r="CH40" s="17">
        <v>44886.0</v>
      </c>
      <c r="CI40" s="19">
        <f>6338647/100</f>
        <v>63386.47</v>
      </c>
      <c r="CJ40" s="17">
        <v>63375.0</v>
      </c>
      <c r="CK40" s="17">
        <v>63852.0</v>
      </c>
      <c r="CL40" s="19">
        <f t="shared" si="94"/>
        <v>8.766796875</v>
      </c>
      <c r="CM40" s="20">
        <f t="shared" si="95"/>
        <v>12.38016992</v>
      </c>
      <c r="CN40" s="17">
        <v>83926.0</v>
      </c>
      <c r="CO40" s="19">
        <f>11857553/100</f>
        <v>118575.53</v>
      </c>
      <c r="CP40" s="17">
        <v>118569.0</v>
      </c>
      <c r="CQ40" s="17">
        <v>119046.0</v>
      </c>
      <c r="CR40" s="19">
        <f t="shared" si="96"/>
        <v>8.195898438</v>
      </c>
      <c r="CS40" s="20">
        <f t="shared" si="97"/>
        <v>11.5796416</v>
      </c>
      <c r="CT40" s="17">
        <v>103466.0</v>
      </c>
      <c r="CU40" s="19">
        <f>14617340/100</f>
        <v>146173.4</v>
      </c>
      <c r="CV40" s="17">
        <v>146635.0</v>
      </c>
      <c r="CW40" s="17">
        <v>146635.0</v>
      </c>
      <c r="CX40" s="19">
        <f t="shared" si="98"/>
        <v>8.08328125</v>
      </c>
      <c r="CY40" s="20">
        <f t="shared" si="99"/>
        <v>11.41979688</v>
      </c>
    </row>
    <row r="41">
      <c r="B41" s="17" t="s">
        <v>20</v>
      </c>
      <c r="C41" s="18" t="s">
        <v>17</v>
      </c>
      <c r="D41" s="36">
        <v>128.0</v>
      </c>
      <c r="E41" s="34">
        <v>128.0</v>
      </c>
      <c r="F41" s="34" t="s">
        <v>39</v>
      </c>
      <c r="G41" s="19"/>
      <c r="H41" s="19"/>
      <c r="I41" s="44"/>
      <c r="J41" s="44"/>
      <c r="K41" s="19"/>
      <c r="L41" s="19"/>
      <c r="M41" s="17">
        <v>18765.0</v>
      </c>
      <c r="N41" s="32">
        <f>23985316/1000</f>
        <v>23985.316</v>
      </c>
      <c r="O41" s="17">
        <v>23873.0</v>
      </c>
      <c r="P41" s="17">
        <v>24946.0</v>
      </c>
      <c r="Q41" s="29">
        <f t="shared" si="19"/>
        <v>14.66015625</v>
      </c>
      <c r="R41" s="30">
        <f t="shared" si="20"/>
        <v>18.73852813</v>
      </c>
      <c r="S41" s="17">
        <v>51915.0</v>
      </c>
      <c r="T41" s="29">
        <f>60295987/1000</f>
        <v>60295.987</v>
      </c>
      <c r="U41" s="17">
        <v>60142.0</v>
      </c>
      <c r="V41" s="17">
        <v>61362.0</v>
      </c>
      <c r="W41" s="29">
        <f t="shared" si="21"/>
        <v>10.13964844</v>
      </c>
      <c r="X41" s="31">
        <f t="shared" si="22"/>
        <v>11.77655996</v>
      </c>
      <c r="Y41" s="17">
        <v>96115.0</v>
      </c>
      <c r="Z41" s="29">
        <f>108570022/1000</f>
        <v>108570.022</v>
      </c>
      <c r="AA41" s="17">
        <v>108458.0</v>
      </c>
      <c r="AB41" s="17">
        <v>109825.0</v>
      </c>
      <c r="AC41" s="29">
        <f t="shared" si="23"/>
        <v>9.386230469</v>
      </c>
      <c r="AD41" s="31">
        <f t="shared" si="24"/>
        <v>10.60254121</v>
      </c>
      <c r="AE41" s="17">
        <v>118214.0</v>
      </c>
      <c r="AF41" s="29">
        <f>132720701/1000</f>
        <v>132720.701</v>
      </c>
      <c r="AG41" s="17">
        <v>132603.0</v>
      </c>
      <c r="AH41" s="17">
        <v>134202.0</v>
      </c>
      <c r="AI41" s="32">
        <f t="shared" si="25"/>
        <v>9.23546875</v>
      </c>
      <c r="AJ41" s="30">
        <f t="shared" si="26"/>
        <v>10.36880477</v>
      </c>
      <c r="AK41" s="33">
        <f t="shared" si="27"/>
        <v>1599</v>
      </c>
      <c r="AR41" s="23" t="s">
        <v>26</v>
      </c>
      <c r="AS41" s="13"/>
      <c r="AT41" s="13"/>
      <c r="AU41" s="13"/>
      <c r="AV41" s="13"/>
      <c r="AW41" s="14"/>
      <c r="AX41" s="23" t="s">
        <v>27</v>
      </c>
      <c r="AY41" s="13"/>
      <c r="AZ41" s="13"/>
      <c r="BA41" s="13"/>
      <c r="BB41" s="13"/>
      <c r="BC41" s="14"/>
      <c r="BD41" s="23" t="s">
        <v>28</v>
      </c>
      <c r="BE41" s="13"/>
      <c r="BF41" s="13"/>
      <c r="BG41" s="13"/>
      <c r="BH41" s="13"/>
      <c r="BI41" s="14"/>
      <c r="BJ41" s="23" t="s">
        <v>29</v>
      </c>
      <c r="BK41" s="13"/>
      <c r="BL41" s="13"/>
      <c r="BM41" s="13"/>
      <c r="BN41" s="13"/>
      <c r="BO41" s="14"/>
      <c r="BP41" s="2"/>
      <c r="BQ41" s="2"/>
      <c r="BR41" s="2"/>
      <c r="BS41" s="2"/>
      <c r="BT41" s="2"/>
      <c r="BU41" s="2"/>
      <c r="BV41" s="2"/>
      <c r="BW41" s="2"/>
      <c r="BX41" s="2"/>
      <c r="CB41" s="23" t="s">
        <v>26</v>
      </c>
      <c r="CC41" s="13"/>
      <c r="CD41" s="13"/>
      <c r="CE41" s="13"/>
      <c r="CF41" s="13"/>
      <c r="CG41" s="14"/>
      <c r="CH41" s="23" t="s">
        <v>27</v>
      </c>
      <c r="CI41" s="13"/>
      <c r="CJ41" s="13"/>
      <c r="CK41" s="13"/>
      <c r="CL41" s="13"/>
      <c r="CM41" s="14"/>
      <c r="CN41" s="23" t="s">
        <v>28</v>
      </c>
      <c r="CO41" s="13"/>
      <c r="CP41" s="13"/>
      <c r="CQ41" s="13"/>
      <c r="CR41" s="13"/>
      <c r="CS41" s="14"/>
      <c r="CT41" s="23" t="s">
        <v>29</v>
      </c>
      <c r="CU41" s="13"/>
      <c r="CV41" s="13"/>
      <c r="CW41" s="13"/>
      <c r="CX41" s="13"/>
      <c r="CY41" s="14"/>
      <c r="CZ41" s="2"/>
      <c r="DA41" s="2"/>
      <c r="DB41" s="2"/>
      <c r="DC41" s="2"/>
      <c r="DD41" s="2"/>
      <c r="DE41" s="2"/>
    </row>
    <row r="42">
      <c r="D42" s="3"/>
      <c r="E42" s="3">
        <v>70.0</v>
      </c>
      <c r="M42" s="21" t="s">
        <v>65</v>
      </c>
      <c r="N42" s="13"/>
      <c r="O42" s="13"/>
      <c r="P42" s="13"/>
      <c r="Q42" s="13"/>
      <c r="R42" s="14"/>
      <c r="AD42" s="3"/>
      <c r="AE42" s="22" t="s">
        <v>66</v>
      </c>
      <c r="AF42" s="13"/>
      <c r="AG42" s="13"/>
      <c r="AH42" s="13"/>
      <c r="AI42" s="13"/>
      <c r="AJ42" s="14"/>
      <c r="AR42" s="15" t="s">
        <v>10</v>
      </c>
      <c r="AS42" s="15" t="s">
        <v>11</v>
      </c>
      <c r="AT42" s="15" t="s">
        <v>12</v>
      </c>
      <c r="AU42" s="15" t="s">
        <v>13</v>
      </c>
      <c r="AV42" s="15" t="s">
        <v>14</v>
      </c>
      <c r="AW42" s="16" t="s">
        <v>15</v>
      </c>
      <c r="AX42" s="15" t="s">
        <v>10</v>
      </c>
      <c r="AY42" s="15" t="s">
        <v>11</v>
      </c>
      <c r="AZ42" s="15" t="s">
        <v>12</v>
      </c>
      <c r="BA42" s="15" t="s">
        <v>13</v>
      </c>
      <c r="BB42" s="15" t="s">
        <v>14</v>
      </c>
      <c r="BC42" s="16" t="s">
        <v>15</v>
      </c>
      <c r="BD42" s="15" t="s">
        <v>10</v>
      </c>
      <c r="BE42" s="15" t="s">
        <v>11</v>
      </c>
      <c r="BF42" s="15" t="s">
        <v>12</v>
      </c>
      <c r="BG42" s="15" t="s">
        <v>13</v>
      </c>
      <c r="BH42" s="15" t="s">
        <v>14</v>
      </c>
      <c r="BI42" s="16" t="s">
        <v>15</v>
      </c>
      <c r="BJ42" s="15" t="s">
        <v>10</v>
      </c>
      <c r="BK42" s="15" t="s">
        <v>11</v>
      </c>
      <c r="BL42" s="15" t="s">
        <v>12</v>
      </c>
      <c r="BM42" s="15" t="s">
        <v>13</v>
      </c>
      <c r="BN42" s="15" t="s">
        <v>14</v>
      </c>
      <c r="BO42" s="16" t="s">
        <v>15</v>
      </c>
      <c r="BP42" s="2"/>
      <c r="BQ42" s="2"/>
      <c r="BR42" s="2"/>
      <c r="BS42" s="2"/>
      <c r="BT42" s="2"/>
      <c r="BU42" s="2"/>
      <c r="BV42" s="2"/>
      <c r="BW42" s="2"/>
      <c r="BX42" s="2"/>
      <c r="CB42" s="15" t="s">
        <v>10</v>
      </c>
      <c r="CC42" s="15" t="s">
        <v>11</v>
      </c>
      <c r="CD42" s="15" t="s">
        <v>12</v>
      </c>
      <c r="CE42" s="15" t="s">
        <v>13</v>
      </c>
      <c r="CF42" s="15" t="s">
        <v>14</v>
      </c>
      <c r="CG42" s="16" t="s">
        <v>15</v>
      </c>
      <c r="CH42" s="15" t="s">
        <v>10</v>
      </c>
      <c r="CI42" s="15" t="s">
        <v>11</v>
      </c>
      <c r="CJ42" s="15" t="s">
        <v>12</v>
      </c>
      <c r="CK42" s="15" t="s">
        <v>13</v>
      </c>
      <c r="CL42" s="15" t="s">
        <v>14</v>
      </c>
      <c r="CM42" s="16" t="s">
        <v>15</v>
      </c>
      <c r="CN42" s="15" t="s">
        <v>10</v>
      </c>
      <c r="CO42" s="15" t="s">
        <v>11</v>
      </c>
      <c r="CP42" s="15" t="s">
        <v>12</v>
      </c>
      <c r="CQ42" s="15" t="s">
        <v>13</v>
      </c>
      <c r="CR42" s="15" t="s">
        <v>14</v>
      </c>
      <c r="CS42" s="16" t="s">
        <v>15</v>
      </c>
      <c r="CT42" s="15" t="s">
        <v>10</v>
      </c>
      <c r="CU42" s="15" t="s">
        <v>11</v>
      </c>
      <c r="CV42" s="15" t="s">
        <v>12</v>
      </c>
      <c r="CW42" s="15" t="s">
        <v>13</v>
      </c>
      <c r="CX42" s="15" t="s">
        <v>14</v>
      </c>
      <c r="CY42" s="16" t="s">
        <v>15</v>
      </c>
      <c r="CZ42" s="2"/>
      <c r="DA42" s="2"/>
      <c r="DB42" s="2"/>
      <c r="DC42" s="2"/>
      <c r="DD42" s="2"/>
      <c r="DE42" s="2"/>
    </row>
    <row r="43">
      <c r="M43" s="15" t="s">
        <v>10</v>
      </c>
      <c r="N43" s="15" t="s">
        <v>11</v>
      </c>
      <c r="O43" s="15" t="s">
        <v>12</v>
      </c>
      <c r="P43" s="15" t="s">
        <v>13</v>
      </c>
      <c r="Q43" s="15" t="s">
        <v>14</v>
      </c>
      <c r="R43" s="16" t="s">
        <v>15</v>
      </c>
      <c r="AE43" s="15" t="s">
        <v>10</v>
      </c>
      <c r="AF43" s="15" t="s">
        <v>11</v>
      </c>
      <c r="AG43" s="15" t="s">
        <v>12</v>
      </c>
      <c r="AH43" s="15" t="s">
        <v>13</v>
      </c>
      <c r="AI43" s="15" t="s">
        <v>14</v>
      </c>
      <c r="AJ43" s="16" t="s">
        <v>15</v>
      </c>
      <c r="AK43" s="24" t="s">
        <v>34</v>
      </c>
      <c r="AO43" s="17" t="s">
        <v>16</v>
      </c>
      <c r="AP43" s="18" t="s">
        <v>17</v>
      </c>
      <c r="AQ43" s="18">
        <v>64.0</v>
      </c>
      <c r="AR43" s="17">
        <v>19930.0</v>
      </c>
      <c r="AS43" s="19">
        <f>2803743/100</f>
        <v>28037.43</v>
      </c>
      <c r="AT43" s="17">
        <v>28024.0</v>
      </c>
      <c r="AU43" s="17">
        <v>28966.0</v>
      </c>
      <c r="AV43" s="19">
        <f t="shared" ref="AV43:AV46" si="100">AR43/(10*AQ37)</f>
        <v>31.140625</v>
      </c>
      <c r="AW43" s="20">
        <f t="shared" ref="AW43:AW46" si="101">AS43/(10*AQ37)</f>
        <v>43.80848438</v>
      </c>
      <c r="AX43" s="17">
        <v>48406.0</v>
      </c>
      <c r="AY43" s="19">
        <f>6807424/100</f>
        <v>68074.24</v>
      </c>
      <c r="AZ43" s="17">
        <v>68043.0</v>
      </c>
      <c r="BA43" s="17">
        <v>69178.0</v>
      </c>
      <c r="BB43" s="19">
        <f t="shared" ref="BB43:BB46" si="102">AX43/(40*AQ37)</f>
        <v>18.90859375</v>
      </c>
      <c r="BC43" s="20">
        <f t="shared" ref="BC43:BC46" si="103">AY43/(40*AQ37)</f>
        <v>26.5915</v>
      </c>
      <c r="BD43" s="17">
        <v>86366.0</v>
      </c>
      <c r="BE43" s="19">
        <f>12140784/100</f>
        <v>121407.84</v>
      </c>
      <c r="BF43" s="17">
        <v>121390.0</v>
      </c>
      <c r="BG43" s="17">
        <v>122700.0</v>
      </c>
      <c r="BH43" s="19">
        <f t="shared" ref="BH43:BH46" si="104">BD43/(80*AQ37)</f>
        <v>16.86835938</v>
      </c>
      <c r="BI43" s="20">
        <f t="shared" ref="BI43:BI46" si="105">BE43/(80*AQ37)</f>
        <v>23.71246875</v>
      </c>
      <c r="BJ43" s="3">
        <v>105346.0</v>
      </c>
      <c r="BK43" s="17">
        <f>14809486/100</f>
        <v>148094.86</v>
      </c>
      <c r="BL43" s="17">
        <v>148076.0</v>
      </c>
      <c r="BM43" s="17">
        <v>149481.0</v>
      </c>
      <c r="BN43" s="19">
        <f t="shared" ref="BN43:BN46" si="106">BJ43/(100*AQ37)</f>
        <v>16.4603125</v>
      </c>
      <c r="BO43" s="20">
        <f t="shared" ref="BO43:BO46" si="107">BK43/(100*AQ37)</f>
        <v>23.13982188</v>
      </c>
      <c r="BY43" s="17" t="s">
        <v>16</v>
      </c>
      <c r="BZ43" s="18" t="s">
        <v>17</v>
      </c>
      <c r="CA43" s="18">
        <v>64.0</v>
      </c>
      <c r="CB43" s="17">
        <v>19930.0</v>
      </c>
      <c r="CC43" s="19">
        <f>2803743/100</f>
        <v>28037.43</v>
      </c>
      <c r="CD43" s="17">
        <v>28024.0</v>
      </c>
      <c r="CE43" s="17">
        <v>28966.0</v>
      </c>
      <c r="CF43" s="19">
        <f t="shared" ref="CF43:CF46" si="108">CB43/(10*CA37)</f>
        <v>31.140625</v>
      </c>
      <c r="CG43" s="20">
        <f t="shared" ref="CG43:CG46" si="109">CC43/(10*CA37)</f>
        <v>43.80848438</v>
      </c>
      <c r="CH43" s="17">
        <v>48406.0</v>
      </c>
      <c r="CI43" s="19">
        <f>6807424/100</f>
        <v>68074.24</v>
      </c>
      <c r="CJ43" s="17">
        <v>68043.0</v>
      </c>
      <c r="CK43" s="17">
        <v>69178.0</v>
      </c>
      <c r="CL43" s="19">
        <f t="shared" ref="CL43:CL46" si="110">CH43/(40*CA37)</f>
        <v>18.90859375</v>
      </c>
      <c r="CM43" s="20">
        <f t="shared" ref="CM43:CM46" si="111">CI43/(40*CA37)</f>
        <v>26.5915</v>
      </c>
      <c r="CN43" s="17">
        <v>86366.0</v>
      </c>
      <c r="CO43" s="19">
        <f>12140784/100</f>
        <v>121407.84</v>
      </c>
      <c r="CP43" s="17">
        <v>121390.0</v>
      </c>
      <c r="CQ43" s="17">
        <v>122700.0</v>
      </c>
      <c r="CR43" s="19">
        <f t="shared" ref="CR43:CR46" si="112">CN43/(80*CA37)</f>
        <v>16.86835938</v>
      </c>
      <c r="CS43" s="20">
        <f t="shared" ref="CS43:CS46" si="113">CO43/(80*CA37)</f>
        <v>23.71246875</v>
      </c>
      <c r="CT43" s="3">
        <v>105346.0</v>
      </c>
      <c r="CU43" s="17">
        <f>14809486/100</f>
        <v>148094.86</v>
      </c>
      <c r="CV43" s="17">
        <v>148076.0</v>
      </c>
      <c r="CW43" s="17">
        <v>149481.0</v>
      </c>
      <c r="CX43" s="19">
        <f t="shared" ref="CX43:CX46" si="114">CT43/(100*CA37)</f>
        <v>16.4603125</v>
      </c>
      <c r="CY43" s="20">
        <f t="shared" ref="CY43:CY46" si="115">CU43/(100*CA37)</f>
        <v>23.13982188</v>
      </c>
    </row>
    <row r="44">
      <c r="C44" s="3"/>
      <c r="G44" s="3"/>
      <c r="M44" s="35"/>
      <c r="N44" s="50"/>
      <c r="O44" s="35"/>
      <c r="P44" s="35"/>
      <c r="Q44" s="50"/>
      <c r="R44" s="51"/>
      <c r="AE44" s="17">
        <f>198328</f>
        <v>198328</v>
      </c>
      <c r="AF44" s="32">
        <f>112396562/500</f>
        <v>224793.124</v>
      </c>
      <c r="AG44" s="17">
        <v>224764.0</v>
      </c>
      <c r="AH44" s="17">
        <v>228230.0</v>
      </c>
      <c r="AI44" s="32">
        <f t="shared" ref="AI44:AI67" si="116">AE44/(100*D18)</f>
        <v>3.87359375</v>
      </c>
      <c r="AJ44" s="30">
        <f t="shared" ref="AJ44:AJ67" si="117">AF44/(100*D18)</f>
        <v>4.390490703</v>
      </c>
      <c r="AK44" s="33">
        <f t="shared" ref="AK44:AK67" si="118">AH44-AG44</f>
        <v>3466</v>
      </c>
      <c r="AO44" s="17" t="s">
        <v>18</v>
      </c>
      <c r="AP44" s="18" t="s">
        <v>17</v>
      </c>
      <c r="AQ44" s="18">
        <v>64.0</v>
      </c>
      <c r="AR44" s="17">
        <v>19943.0</v>
      </c>
      <c r="AS44" s="17">
        <f>2803172/100</f>
        <v>28031.72</v>
      </c>
      <c r="AT44" s="17">
        <v>28018.0</v>
      </c>
      <c r="AU44" s="17">
        <v>28824.0</v>
      </c>
      <c r="AV44" s="19">
        <f t="shared" si="100"/>
        <v>31.1609375</v>
      </c>
      <c r="AW44" s="20">
        <f t="shared" si="101"/>
        <v>43.7995625</v>
      </c>
      <c r="AX44" s="17">
        <v>48479.0</v>
      </c>
      <c r="AY44" s="19">
        <f>6808640/100</f>
        <v>68086.4</v>
      </c>
      <c r="AZ44" s="17">
        <v>68054.0</v>
      </c>
      <c r="BA44" s="17">
        <v>69037.0</v>
      </c>
      <c r="BB44" s="19">
        <f t="shared" si="102"/>
        <v>18.93710938</v>
      </c>
      <c r="BC44" s="20">
        <f t="shared" si="103"/>
        <v>26.59625</v>
      </c>
      <c r="BD44" s="17">
        <v>86519.0</v>
      </c>
      <c r="BE44" s="19">
        <f>12144703/100</f>
        <v>121447.03</v>
      </c>
      <c r="BF44" s="17">
        <v>121430.0</v>
      </c>
      <c r="BG44" s="17">
        <v>122648.0</v>
      </c>
      <c r="BH44" s="19">
        <f t="shared" si="104"/>
        <v>16.89824219</v>
      </c>
      <c r="BI44" s="20">
        <f t="shared" si="105"/>
        <v>23.72012305</v>
      </c>
      <c r="BJ44" s="17">
        <v>105539.0</v>
      </c>
      <c r="BK44" s="17">
        <f>14812888/100</f>
        <v>148128.88</v>
      </c>
      <c r="BL44" s="17">
        <v>148111.0</v>
      </c>
      <c r="BM44" s="17">
        <v>149489.0</v>
      </c>
      <c r="BN44" s="19">
        <f t="shared" si="106"/>
        <v>16.49046875</v>
      </c>
      <c r="BO44" s="20">
        <f t="shared" si="107"/>
        <v>23.1451375</v>
      </c>
      <c r="BY44" s="17" t="s">
        <v>18</v>
      </c>
      <c r="BZ44" s="18" t="s">
        <v>17</v>
      </c>
      <c r="CA44" s="18">
        <v>64.0</v>
      </c>
      <c r="CB44" s="17">
        <v>19943.0</v>
      </c>
      <c r="CC44" s="17">
        <f>2803172/100</f>
        <v>28031.72</v>
      </c>
      <c r="CD44" s="17">
        <v>28018.0</v>
      </c>
      <c r="CE44" s="17">
        <v>28824.0</v>
      </c>
      <c r="CF44" s="19">
        <f t="shared" si="108"/>
        <v>31.1609375</v>
      </c>
      <c r="CG44" s="20">
        <f t="shared" si="109"/>
        <v>43.7995625</v>
      </c>
      <c r="CH44" s="17">
        <v>48479.0</v>
      </c>
      <c r="CI44" s="19">
        <f>6808640/100</f>
        <v>68086.4</v>
      </c>
      <c r="CJ44" s="17">
        <v>68054.0</v>
      </c>
      <c r="CK44" s="17">
        <v>69037.0</v>
      </c>
      <c r="CL44" s="19">
        <f t="shared" si="110"/>
        <v>18.93710938</v>
      </c>
      <c r="CM44" s="20">
        <f t="shared" si="111"/>
        <v>26.59625</v>
      </c>
      <c r="CN44" s="17">
        <v>86519.0</v>
      </c>
      <c r="CO44" s="19">
        <f>12144703/100</f>
        <v>121447.03</v>
      </c>
      <c r="CP44" s="17">
        <v>121430.0</v>
      </c>
      <c r="CQ44" s="17">
        <v>122648.0</v>
      </c>
      <c r="CR44" s="19">
        <f t="shared" si="112"/>
        <v>16.89824219</v>
      </c>
      <c r="CS44" s="20">
        <f t="shared" si="113"/>
        <v>23.72012305</v>
      </c>
      <c r="CT44" s="17">
        <v>105539.0</v>
      </c>
      <c r="CU44" s="17">
        <f>14812888/100</f>
        <v>148128.88</v>
      </c>
      <c r="CV44" s="17">
        <v>148111.0</v>
      </c>
      <c r="CW44" s="17">
        <v>149489.0</v>
      </c>
      <c r="CX44" s="19">
        <f t="shared" si="114"/>
        <v>16.49046875</v>
      </c>
      <c r="CY44" s="20">
        <f t="shared" si="115"/>
        <v>23.1451375</v>
      </c>
    </row>
    <row r="45">
      <c r="M45" s="17">
        <v>35356.0</v>
      </c>
      <c r="N45" s="29">
        <f>42008735/1000</f>
        <v>42008.735</v>
      </c>
      <c r="O45" s="17">
        <v>42007.0</v>
      </c>
      <c r="P45" s="17">
        <v>43049.0</v>
      </c>
      <c r="Q45" s="29">
        <f>M45/D19*0.1</f>
        <v>6.90546875</v>
      </c>
      <c r="R45" s="30">
        <f>N45/D19*0.1</f>
        <v>8.204831055</v>
      </c>
      <c r="AE45" s="17">
        <v>312008.0</v>
      </c>
      <c r="AF45" s="32">
        <f>187870246/500</f>
        <v>375740.492</v>
      </c>
      <c r="AG45" s="17">
        <v>374501.0</v>
      </c>
      <c r="AH45" s="17">
        <v>376246.0</v>
      </c>
      <c r="AI45" s="32">
        <f t="shared" si="116"/>
        <v>6.09390625</v>
      </c>
      <c r="AJ45" s="30">
        <f t="shared" si="117"/>
        <v>7.338681484</v>
      </c>
      <c r="AK45" s="33">
        <f t="shared" si="118"/>
        <v>1745</v>
      </c>
      <c r="AO45" s="17" t="s">
        <v>19</v>
      </c>
      <c r="AP45" s="18" t="s">
        <v>17</v>
      </c>
      <c r="AQ45" s="18">
        <v>128.0</v>
      </c>
      <c r="AR45" s="17">
        <v>20136.0</v>
      </c>
      <c r="AS45" s="19">
        <f>2849167/100</f>
        <v>28491.67</v>
      </c>
      <c r="AT45" s="17">
        <v>28482.0</v>
      </c>
      <c r="AU45" s="17">
        <v>29201.0</v>
      </c>
      <c r="AV45" s="19">
        <f t="shared" si="100"/>
        <v>15.73125</v>
      </c>
      <c r="AW45" s="20">
        <f t="shared" si="101"/>
        <v>22.25911719</v>
      </c>
      <c r="AX45" s="17">
        <v>57816.0</v>
      </c>
      <c r="AY45" s="19">
        <f>8181760/100</f>
        <v>81817.6</v>
      </c>
      <c r="AZ45" s="17">
        <v>81806.0</v>
      </c>
      <c r="BA45" s="17">
        <v>82655.0</v>
      </c>
      <c r="BB45" s="19">
        <f t="shared" si="102"/>
        <v>11.2921875</v>
      </c>
      <c r="BC45" s="20">
        <f t="shared" si="103"/>
        <v>15.98</v>
      </c>
      <c r="BD45" s="17">
        <v>108056.0</v>
      </c>
      <c r="BE45" s="19">
        <f>15291984/100</f>
        <v>152919.84</v>
      </c>
      <c r="BF45" s="17">
        <v>152903.0</v>
      </c>
      <c r="BG45" s="17">
        <v>153965.0</v>
      </c>
      <c r="BH45" s="19">
        <f t="shared" si="104"/>
        <v>10.55234375</v>
      </c>
      <c r="BI45" s="20">
        <f t="shared" si="105"/>
        <v>14.93357813</v>
      </c>
      <c r="BJ45" s="17">
        <v>133176.0</v>
      </c>
      <c r="BK45" s="17">
        <f>18848205/100</f>
        <v>188482.05</v>
      </c>
      <c r="BL45" s="17">
        <v>188462.0</v>
      </c>
      <c r="BM45" s="17">
        <v>189778.0</v>
      </c>
      <c r="BN45" s="19">
        <f t="shared" si="106"/>
        <v>10.404375</v>
      </c>
      <c r="BO45" s="20">
        <f t="shared" si="107"/>
        <v>14.72516016</v>
      </c>
      <c r="BY45" s="17" t="s">
        <v>19</v>
      </c>
      <c r="BZ45" s="18" t="s">
        <v>17</v>
      </c>
      <c r="CA45" s="18">
        <v>128.0</v>
      </c>
      <c r="CB45" s="17">
        <v>20136.0</v>
      </c>
      <c r="CC45" s="19">
        <f>2849167/100</f>
        <v>28491.67</v>
      </c>
      <c r="CD45" s="17">
        <v>28482.0</v>
      </c>
      <c r="CE45" s="17">
        <v>29201.0</v>
      </c>
      <c r="CF45" s="19">
        <f t="shared" si="108"/>
        <v>15.73125</v>
      </c>
      <c r="CG45" s="20">
        <f t="shared" si="109"/>
        <v>22.25911719</v>
      </c>
      <c r="CH45" s="17">
        <v>57816.0</v>
      </c>
      <c r="CI45" s="19">
        <f>8181760/100</f>
        <v>81817.6</v>
      </c>
      <c r="CJ45" s="17">
        <v>81806.0</v>
      </c>
      <c r="CK45" s="17">
        <v>82655.0</v>
      </c>
      <c r="CL45" s="19">
        <f t="shared" si="110"/>
        <v>11.2921875</v>
      </c>
      <c r="CM45" s="20">
        <f t="shared" si="111"/>
        <v>15.98</v>
      </c>
      <c r="CN45" s="17">
        <v>108056.0</v>
      </c>
      <c r="CO45" s="19">
        <f>15291984/100</f>
        <v>152919.84</v>
      </c>
      <c r="CP45" s="17">
        <v>152903.0</v>
      </c>
      <c r="CQ45" s="17">
        <v>153965.0</v>
      </c>
      <c r="CR45" s="19">
        <f t="shared" si="112"/>
        <v>10.55234375</v>
      </c>
      <c r="CS45" s="20">
        <f t="shared" si="113"/>
        <v>14.93357813</v>
      </c>
      <c r="CT45" s="17">
        <v>133176.0</v>
      </c>
      <c r="CU45" s="17">
        <f>18848205/100</f>
        <v>188482.05</v>
      </c>
      <c r="CV45" s="17">
        <v>188462.0</v>
      </c>
      <c r="CW45" s="17">
        <v>189778.0</v>
      </c>
      <c r="CX45" s="19">
        <f t="shared" si="114"/>
        <v>10.404375</v>
      </c>
      <c r="CY45" s="20">
        <f t="shared" si="115"/>
        <v>14.72516016</v>
      </c>
    </row>
    <row r="46">
      <c r="M46" s="35"/>
      <c r="N46" s="50"/>
      <c r="O46" s="35"/>
      <c r="P46" s="35"/>
      <c r="Q46" s="50"/>
      <c r="R46" s="51"/>
      <c r="AE46" s="17">
        <v>429523.0</v>
      </c>
      <c r="AF46" s="32">
        <f>367743728/500</f>
        <v>735487.456</v>
      </c>
      <c r="AG46" s="17">
        <v>735471.0</v>
      </c>
      <c r="AH46" s="17">
        <v>736151.0</v>
      </c>
      <c r="AI46" s="32">
        <f t="shared" si="116"/>
        <v>33.55648438</v>
      </c>
      <c r="AJ46" s="30">
        <f t="shared" si="117"/>
        <v>57.4599575</v>
      </c>
      <c r="AK46" s="33">
        <f t="shared" si="118"/>
        <v>680</v>
      </c>
      <c r="AO46" s="17" t="s">
        <v>20</v>
      </c>
      <c r="AP46" s="18" t="s">
        <v>17</v>
      </c>
      <c r="AQ46" s="18">
        <v>128.0</v>
      </c>
      <c r="AR46" s="17">
        <v>20175.0</v>
      </c>
      <c r="AS46" s="19">
        <f>2844948/100</f>
        <v>28449.48</v>
      </c>
      <c r="AT46" s="17">
        <v>28437.0</v>
      </c>
      <c r="AU46" s="17">
        <v>29231.0</v>
      </c>
      <c r="AV46" s="19">
        <f t="shared" si="100"/>
        <v>15.76171875</v>
      </c>
      <c r="AW46" s="20">
        <f t="shared" si="101"/>
        <v>22.22615625</v>
      </c>
      <c r="AX46" s="17">
        <v>57975.0</v>
      </c>
      <c r="AY46" s="19">
        <f>8168396/100</f>
        <v>81683.96</v>
      </c>
      <c r="AZ46" s="17">
        <v>81671.0</v>
      </c>
      <c r="BA46" s="17">
        <v>82517.0</v>
      </c>
      <c r="BB46" s="19">
        <f t="shared" si="102"/>
        <v>11.32324219</v>
      </c>
      <c r="BC46" s="20">
        <f t="shared" si="103"/>
        <v>15.95389844</v>
      </c>
      <c r="BD46" s="17">
        <v>108375.0</v>
      </c>
      <c r="BE46" s="19">
        <f>15263594/100</f>
        <v>152635.94</v>
      </c>
      <c r="BF46" s="17">
        <v>152618.0</v>
      </c>
      <c r="BG46" s="17">
        <v>153825.0</v>
      </c>
      <c r="BH46" s="19">
        <f t="shared" si="104"/>
        <v>10.58349609</v>
      </c>
      <c r="BI46" s="20">
        <f t="shared" si="105"/>
        <v>14.90585352</v>
      </c>
      <c r="BJ46" s="17">
        <v>133575.0</v>
      </c>
      <c r="BK46" s="19">
        <f>18811437/100</f>
        <v>188114.37</v>
      </c>
      <c r="BL46" s="17">
        <v>188097.0</v>
      </c>
      <c r="BM46" s="17">
        <v>189205.0</v>
      </c>
      <c r="BN46" s="19">
        <f t="shared" si="106"/>
        <v>10.43554688</v>
      </c>
      <c r="BO46" s="20">
        <f t="shared" si="107"/>
        <v>14.69643516</v>
      </c>
      <c r="BY46" s="17" t="s">
        <v>20</v>
      </c>
      <c r="BZ46" s="18" t="s">
        <v>17</v>
      </c>
      <c r="CA46" s="18">
        <v>128.0</v>
      </c>
      <c r="CB46" s="17">
        <v>20175.0</v>
      </c>
      <c r="CC46" s="19">
        <f>2844948/100</f>
        <v>28449.48</v>
      </c>
      <c r="CD46" s="17">
        <v>28437.0</v>
      </c>
      <c r="CE46" s="17">
        <v>29231.0</v>
      </c>
      <c r="CF46" s="19">
        <f t="shared" si="108"/>
        <v>15.76171875</v>
      </c>
      <c r="CG46" s="20">
        <f t="shared" si="109"/>
        <v>22.22615625</v>
      </c>
      <c r="CH46" s="17">
        <v>57975.0</v>
      </c>
      <c r="CI46" s="19">
        <f>8168396/100</f>
        <v>81683.96</v>
      </c>
      <c r="CJ46" s="17">
        <v>81671.0</v>
      </c>
      <c r="CK46" s="17">
        <v>82517.0</v>
      </c>
      <c r="CL46" s="19">
        <f t="shared" si="110"/>
        <v>11.32324219</v>
      </c>
      <c r="CM46" s="20">
        <f t="shared" si="111"/>
        <v>15.95389844</v>
      </c>
      <c r="CN46" s="17">
        <v>108375.0</v>
      </c>
      <c r="CO46" s="19">
        <f>15263594/100</f>
        <v>152635.94</v>
      </c>
      <c r="CP46" s="17">
        <v>152618.0</v>
      </c>
      <c r="CQ46" s="17">
        <v>153825.0</v>
      </c>
      <c r="CR46" s="19">
        <f t="shared" si="112"/>
        <v>10.58349609</v>
      </c>
      <c r="CS46" s="20">
        <f t="shared" si="113"/>
        <v>14.90585352</v>
      </c>
      <c r="CT46" s="17">
        <v>133575.0</v>
      </c>
      <c r="CU46" s="19">
        <f>18811437/100</f>
        <v>188114.37</v>
      </c>
      <c r="CV46" s="17">
        <v>188097.0</v>
      </c>
      <c r="CW46" s="17">
        <v>189205.0</v>
      </c>
      <c r="CX46" s="19">
        <f t="shared" si="114"/>
        <v>10.43554688</v>
      </c>
      <c r="CY46" s="20">
        <f t="shared" si="115"/>
        <v>14.69643516</v>
      </c>
    </row>
    <row r="47">
      <c r="M47" s="35"/>
      <c r="N47" s="50"/>
      <c r="O47" s="35"/>
      <c r="P47" s="35"/>
      <c r="Q47" s="50"/>
      <c r="R47" s="51"/>
      <c r="AE47" s="17">
        <v>508123.0</v>
      </c>
      <c r="AF47" s="37">
        <f>439397600/500</f>
        <v>878795.2</v>
      </c>
      <c r="AG47" s="17">
        <v>878771.0</v>
      </c>
      <c r="AH47" s="17">
        <v>879378.0</v>
      </c>
      <c r="AI47" s="32">
        <f t="shared" si="116"/>
        <v>39.69710938</v>
      </c>
      <c r="AJ47" s="30">
        <f t="shared" si="117"/>
        <v>68.655875</v>
      </c>
      <c r="AK47" s="33">
        <f t="shared" si="118"/>
        <v>607</v>
      </c>
    </row>
    <row r="48">
      <c r="M48" s="35"/>
      <c r="N48" s="50"/>
      <c r="O48" s="35"/>
      <c r="P48" s="35"/>
      <c r="Q48" s="50"/>
      <c r="R48" s="51"/>
      <c r="AE48" s="17">
        <v>586423.0</v>
      </c>
      <c r="AF48" s="32">
        <f>507315699/500</f>
        <v>1014631.398</v>
      </c>
      <c r="AG48" s="17">
        <v>1014629.0</v>
      </c>
      <c r="AH48" s="17">
        <v>1015178.0</v>
      </c>
      <c r="AI48" s="32">
        <f t="shared" si="116"/>
        <v>45.81429688</v>
      </c>
      <c r="AJ48" s="30">
        <f t="shared" si="117"/>
        <v>79.26807797</v>
      </c>
      <c r="AK48" s="33">
        <f t="shared" si="118"/>
        <v>549</v>
      </c>
      <c r="AO48" s="17" t="s">
        <v>16</v>
      </c>
      <c r="AP48" s="18" t="s">
        <v>17</v>
      </c>
      <c r="AQ48" s="18">
        <v>64.0</v>
      </c>
      <c r="AR48" s="4"/>
      <c r="AS48" s="4"/>
      <c r="AT48" s="38">
        <f t="shared" ref="AT48:AW48" si="119">1-AT37/AT43</f>
        <v>0.3366400228</v>
      </c>
      <c r="AU48" s="38">
        <f t="shared" si="119"/>
        <v>0.3295242698</v>
      </c>
      <c r="AV48" s="39">
        <f t="shared" si="119"/>
        <v>0.4269443051</v>
      </c>
      <c r="AW48" s="39">
        <f t="shared" si="119"/>
        <v>0.3366335645</v>
      </c>
      <c r="AX48" s="4"/>
      <c r="AY48" s="4"/>
      <c r="AZ48" s="38">
        <f t="shared" ref="AZ48:BC48" si="120">1-AZ37/AZ43</f>
        <v>0.3321723028</v>
      </c>
      <c r="BA48" s="38">
        <f t="shared" si="120"/>
        <v>0.3323455434</v>
      </c>
      <c r="BB48" s="39">
        <f t="shared" si="120"/>
        <v>0.4255464199</v>
      </c>
      <c r="BC48" s="39">
        <f t="shared" si="120"/>
        <v>0.3323312901</v>
      </c>
      <c r="BD48" s="4"/>
      <c r="BE48" s="4"/>
      <c r="BF48" s="38">
        <f t="shared" ref="BF48:BI48" si="121">1-BF37/BF43</f>
        <v>0.3308262625</v>
      </c>
      <c r="BG48" s="38">
        <f t="shared" si="121"/>
        <v>0.3315810921</v>
      </c>
      <c r="BH48" s="52">
        <f t="shared" si="121"/>
        <v>0.4251557326</v>
      </c>
      <c r="BI48" s="39">
        <f t="shared" si="121"/>
        <v>0.3308358834</v>
      </c>
      <c r="BJ48" s="4"/>
      <c r="BK48" s="4"/>
      <c r="BL48" s="38">
        <f t="shared" ref="BL48:BO48" si="122">1-BL37/BL43</f>
        <v>0.330519463</v>
      </c>
      <c r="BM48" s="38">
        <f t="shared" si="122"/>
        <v>0.3313598384</v>
      </c>
      <c r="BN48" s="39">
        <f t="shared" si="122"/>
        <v>0.4250659731</v>
      </c>
      <c r="BO48" s="39">
        <f t="shared" si="122"/>
        <v>0.3302986343</v>
      </c>
      <c r="BP48" s="4"/>
      <c r="BQ48" s="4"/>
      <c r="BR48" s="4"/>
      <c r="BS48" s="4"/>
      <c r="BT48" s="4"/>
      <c r="BU48" s="4"/>
      <c r="BV48" s="4"/>
      <c r="BW48" s="4"/>
      <c r="BX48" s="4"/>
      <c r="BY48" s="17" t="s">
        <v>16</v>
      </c>
      <c r="BZ48" s="18" t="s">
        <v>17</v>
      </c>
      <c r="CA48" s="18">
        <v>64.0</v>
      </c>
      <c r="CB48" s="4"/>
      <c r="CC48" s="4"/>
      <c r="CD48" s="38">
        <f t="shared" ref="CD48:CG48" si="123">1-CD37/CD43</f>
        <v>0.2110333999</v>
      </c>
      <c r="CE48" s="38">
        <f t="shared" si="123"/>
        <v>0.2144583305</v>
      </c>
      <c r="CF48" s="39">
        <f t="shared" si="123"/>
        <v>0.2211741094</v>
      </c>
      <c r="CG48" s="39">
        <f t="shared" si="123"/>
        <v>0.2106134549</v>
      </c>
      <c r="CH48" s="4"/>
      <c r="CI48" s="4"/>
      <c r="CJ48" s="38">
        <f t="shared" ref="CJ48:CM48" si="124">1-CJ37/CJ43</f>
        <v>0.2064429846</v>
      </c>
      <c r="CK48" s="38">
        <f t="shared" si="124"/>
        <v>0.2090982682</v>
      </c>
      <c r="CL48" s="39">
        <f t="shared" si="124"/>
        <v>0.2199727307</v>
      </c>
      <c r="CM48" s="39">
        <f t="shared" si="124"/>
        <v>0.2065753507</v>
      </c>
      <c r="CN48" s="4"/>
      <c r="CO48" s="4"/>
      <c r="CP48" s="38">
        <f t="shared" ref="CP48:CS48" si="125">1-CP37/CP43</f>
        <v>0.2048933191</v>
      </c>
      <c r="CQ48" s="38">
        <f t="shared" si="125"/>
        <v>0.2073757131</v>
      </c>
      <c r="CR48" s="52">
        <f t="shared" si="125"/>
        <v>0.2196234629</v>
      </c>
      <c r="CS48" s="39">
        <f t="shared" si="125"/>
        <v>0.2049285285</v>
      </c>
      <c r="CT48" s="4"/>
      <c r="CU48" s="4"/>
      <c r="CV48" s="38">
        <f t="shared" ref="CV48:CY48" si="126">1-CV37/CV43</f>
        <v>0.2046246522</v>
      </c>
      <c r="CW48" s="38">
        <f t="shared" si="126"/>
        <v>0.2069895171</v>
      </c>
      <c r="CX48" s="39">
        <f t="shared" si="126"/>
        <v>0.2195432195</v>
      </c>
      <c r="CY48" s="39">
        <f t="shared" si="126"/>
        <v>0.2046571366</v>
      </c>
      <c r="CZ48" s="4"/>
      <c r="DA48" s="4"/>
      <c r="DB48" s="4"/>
      <c r="DC48" s="4"/>
      <c r="DD48" s="4"/>
      <c r="DE48" s="4"/>
    </row>
    <row r="49">
      <c r="M49" s="35"/>
      <c r="N49" s="50"/>
      <c r="O49" s="35"/>
      <c r="P49" s="35"/>
      <c r="Q49" s="50"/>
      <c r="R49" s="51"/>
      <c r="AE49" s="17">
        <v>651325.0</v>
      </c>
      <c r="AF49" s="37">
        <f>415550340/500</f>
        <v>831100.68</v>
      </c>
      <c r="AG49" s="17">
        <v>831099.0</v>
      </c>
      <c r="AH49" s="17">
        <v>831693.0</v>
      </c>
      <c r="AI49" s="32">
        <f t="shared" si="116"/>
        <v>50.88476563</v>
      </c>
      <c r="AJ49" s="30">
        <f t="shared" si="117"/>
        <v>64.92974063</v>
      </c>
      <c r="AK49" s="33">
        <f t="shared" si="118"/>
        <v>594</v>
      </c>
      <c r="AO49" s="17" t="s">
        <v>18</v>
      </c>
      <c r="AP49" s="18" t="s">
        <v>17</v>
      </c>
      <c r="AQ49" s="18">
        <v>64.0</v>
      </c>
      <c r="AR49" s="4"/>
      <c r="AS49" s="4"/>
      <c r="AT49" s="38">
        <f t="shared" ref="AT49:AW49" si="127">1-AT38/AT44</f>
        <v>0.3365336569</v>
      </c>
      <c r="AU49" s="38">
        <f t="shared" si="127"/>
        <v>0.3371149042</v>
      </c>
      <c r="AV49" s="39">
        <f t="shared" si="127"/>
        <v>0.4266659981</v>
      </c>
      <c r="AW49" s="39">
        <f t="shared" si="127"/>
        <v>0.336607957</v>
      </c>
      <c r="AX49" s="4"/>
      <c r="AY49" s="4"/>
      <c r="AZ49" s="38">
        <f t="shared" ref="AZ49:BC49" si="128">1-AZ38/AZ44</f>
        <v>0.3323096365</v>
      </c>
      <c r="BA49" s="38">
        <f t="shared" si="128"/>
        <v>0.3327056506</v>
      </c>
      <c r="BB49" s="39">
        <f t="shared" si="128"/>
        <v>0.4264114359</v>
      </c>
      <c r="BC49" s="39">
        <f t="shared" si="128"/>
        <v>0.3325037012</v>
      </c>
      <c r="BD49" s="4"/>
      <c r="BE49" s="4"/>
      <c r="BF49" s="38">
        <f t="shared" ref="BF49:BI49" si="129">1-BF38/BF44</f>
        <v>0.3311866919</v>
      </c>
      <c r="BG49" s="38">
        <f t="shared" si="129"/>
        <v>0.3317787489</v>
      </c>
      <c r="BH49" s="52">
        <f t="shared" si="129"/>
        <v>0.4244038882</v>
      </c>
      <c r="BI49" s="39">
        <f t="shared" si="129"/>
        <v>0.331202418</v>
      </c>
      <c r="BJ49" s="4"/>
      <c r="BK49" s="4"/>
      <c r="BL49" s="38">
        <f t="shared" ref="BL49:BO49" si="130">1-BL38/BL44</f>
        <v>0.330664164</v>
      </c>
      <c r="BM49" s="38">
        <f t="shared" si="130"/>
        <v>0.3316163731</v>
      </c>
      <c r="BN49" s="39">
        <f t="shared" si="130"/>
        <v>0.4242886516</v>
      </c>
      <c r="BO49" s="39">
        <f t="shared" si="130"/>
        <v>0.330455479</v>
      </c>
      <c r="BP49" s="4"/>
      <c r="BQ49" s="4"/>
      <c r="BR49" s="4"/>
      <c r="BS49" s="4"/>
      <c r="BT49" s="4"/>
      <c r="BU49" s="4"/>
      <c r="BV49" s="4"/>
      <c r="BW49" s="4"/>
      <c r="BX49" s="4"/>
      <c r="BY49" s="17" t="s">
        <v>18</v>
      </c>
      <c r="BZ49" s="18" t="s">
        <v>17</v>
      </c>
      <c r="CA49" s="18">
        <v>64.0</v>
      </c>
      <c r="CB49" s="4"/>
      <c r="CC49" s="4"/>
      <c r="CD49" s="38">
        <f t="shared" ref="CD49:CG49" si="131">1-CD38/CD44</f>
        <v>0.2098293954</v>
      </c>
      <c r="CE49" s="38">
        <f t="shared" si="131"/>
        <v>0.2195045795</v>
      </c>
      <c r="CF49" s="39">
        <f t="shared" si="131"/>
        <v>0.2210299353</v>
      </c>
      <c r="CG49" s="39">
        <f t="shared" si="131"/>
        <v>0.2092033596</v>
      </c>
      <c r="CH49" s="4"/>
      <c r="CI49" s="4"/>
      <c r="CJ49" s="38">
        <f t="shared" ref="CJ49:CM49" si="132">1-CJ38/CJ44</f>
        <v>0.2059834837</v>
      </c>
      <c r="CK49" s="38">
        <f t="shared" si="132"/>
        <v>0.2074829439</v>
      </c>
      <c r="CL49" s="39">
        <f t="shared" si="132"/>
        <v>0.2196414943</v>
      </c>
      <c r="CM49" s="39">
        <f t="shared" si="132"/>
        <v>0.2060150045</v>
      </c>
      <c r="CN49" s="4"/>
      <c r="CO49" s="4"/>
      <c r="CP49" s="38">
        <f t="shared" ref="CP49:CS49" si="133">1-CP38/CP44</f>
        <v>0.9212797497</v>
      </c>
      <c r="CQ49" s="38">
        <f t="shared" si="133"/>
        <v>0.2099993477</v>
      </c>
      <c r="CR49" s="52">
        <f t="shared" si="133"/>
        <v>0.2192350813</v>
      </c>
      <c r="CS49" s="39">
        <f t="shared" si="133"/>
        <v>0.2048906424</v>
      </c>
      <c r="CT49" s="4"/>
      <c r="CU49" s="4"/>
      <c r="CV49" s="38">
        <f t="shared" ref="CV49:CY49" si="134">1-CV38/CV44</f>
        <v>0.2044210086</v>
      </c>
      <c r="CW49" s="38">
        <f t="shared" si="134"/>
        <v>0.2096007064</v>
      </c>
      <c r="CX49" s="39">
        <f t="shared" si="134"/>
        <v>0.2191417391</v>
      </c>
      <c r="CY49" s="39">
        <f t="shared" si="134"/>
        <v>0.2044851753</v>
      </c>
      <c r="CZ49" s="4"/>
      <c r="DA49" s="4"/>
      <c r="DB49" s="4"/>
      <c r="DC49" s="4"/>
      <c r="DD49" s="4"/>
      <c r="DE49" s="4"/>
    </row>
    <row r="50">
      <c r="M50" s="35"/>
      <c r="N50" s="50"/>
      <c r="O50" s="35"/>
      <c r="P50" s="35"/>
      <c r="Q50" s="50"/>
      <c r="R50" s="51"/>
      <c r="AE50" s="17">
        <v>779125.0</v>
      </c>
      <c r="AF50" s="32">
        <f>498317773/500</f>
        <v>996635.546</v>
      </c>
      <c r="AG50" s="17">
        <v>996634.0</v>
      </c>
      <c r="AH50" s="17">
        <v>997138.0</v>
      </c>
      <c r="AI50" s="32">
        <f t="shared" si="116"/>
        <v>60.86914063</v>
      </c>
      <c r="AJ50" s="30">
        <f t="shared" si="117"/>
        <v>77.86215203</v>
      </c>
      <c r="AK50" s="33">
        <f t="shared" si="118"/>
        <v>504</v>
      </c>
      <c r="AO50" s="17" t="s">
        <v>19</v>
      </c>
      <c r="AP50" s="18" t="s">
        <v>17</v>
      </c>
      <c r="AQ50" s="18">
        <v>128.0</v>
      </c>
      <c r="AR50" s="4"/>
      <c r="AS50" s="4"/>
      <c r="AT50" s="38">
        <f t="shared" ref="AT50:AW50" si="135">1-AT39/AT45</f>
        <v>0.3485359174</v>
      </c>
      <c r="AU50" s="38">
        <f t="shared" si="135"/>
        <v>0.3447484675</v>
      </c>
      <c r="AV50" s="39">
        <f t="shared" si="135"/>
        <v>0.4070818435</v>
      </c>
      <c r="AW50" s="39">
        <f t="shared" si="135"/>
        <v>0.3475303483</v>
      </c>
      <c r="AX50" s="4"/>
      <c r="AY50" s="4"/>
      <c r="AZ50" s="38">
        <f t="shared" ref="AZ50:BC50" si="136">1-AZ39/AZ45</f>
        <v>0.3480307068</v>
      </c>
      <c r="BA50" s="38">
        <f t="shared" si="136"/>
        <v>0.3472627185</v>
      </c>
      <c r="BB50" s="39">
        <f t="shared" si="136"/>
        <v>0.4313511831</v>
      </c>
      <c r="BC50" s="39">
        <f t="shared" si="136"/>
        <v>0.3476210497</v>
      </c>
      <c r="BD50" s="4"/>
      <c r="BE50" s="4"/>
      <c r="BF50" s="38">
        <f t="shared" ref="BF50:BI50" si="137">1-BF39/BF45</f>
        <v>0.3478152816</v>
      </c>
      <c r="BG50" s="38">
        <f t="shared" si="137"/>
        <v>0.3482090085</v>
      </c>
      <c r="BH50" s="52">
        <f t="shared" si="137"/>
        <v>0.4339694233</v>
      </c>
      <c r="BI50" s="39">
        <f t="shared" si="137"/>
        <v>0.3478147767</v>
      </c>
      <c r="BJ50" s="4"/>
      <c r="BK50" s="4"/>
      <c r="BL50" s="38">
        <f t="shared" ref="BL50:BO50" si="138">1-BL39/BL45</f>
        <v>0.347682822</v>
      </c>
      <c r="BM50" s="38">
        <f t="shared" si="138"/>
        <v>0.3486968985</v>
      </c>
      <c r="BN50" s="39">
        <f t="shared" si="138"/>
        <v>0.4339595723</v>
      </c>
      <c r="BO50" s="39">
        <f t="shared" si="138"/>
        <v>0.3474753697</v>
      </c>
      <c r="BP50" s="4"/>
      <c r="BQ50" s="4"/>
      <c r="BR50" s="4"/>
      <c r="BS50" s="4"/>
      <c r="BT50" s="4"/>
      <c r="BU50" s="4"/>
      <c r="BV50" s="4"/>
      <c r="BW50" s="4"/>
      <c r="BX50" s="4"/>
      <c r="BY50" s="17" t="s">
        <v>19</v>
      </c>
      <c r="BZ50" s="18" t="s">
        <v>17</v>
      </c>
      <c r="CA50" s="18">
        <v>128.0</v>
      </c>
      <c r="CB50" s="4"/>
      <c r="CC50" s="4"/>
      <c r="CD50" s="38">
        <f t="shared" ref="CD50:CG50" si="139">1-CD39/CD45</f>
        <v>0.2277929921</v>
      </c>
      <c r="CE50" s="38">
        <f t="shared" si="139"/>
        <v>0.2286907983</v>
      </c>
      <c r="CF50" s="39">
        <f t="shared" si="139"/>
        <v>0.2266587207</v>
      </c>
      <c r="CG50" s="39">
        <f t="shared" si="139"/>
        <v>0.2276121407</v>
      </c>
      <c r="CH50" s="4"/>
      <c r="CI50" s="4"/>
      <c r="CJ50" s="38">
        <f t="shared" ref="CJ50:CM50" si="140">1-CJ39/CJ45</f>
        <v>0.2255091314</v>
      </c>
      <c r="CK50" s="38">
        <f t="shared" si="140"/>
        <v>0.2263867885</v>
      </c>
      <c r="CL50" s="39">
        <f t="shared" si="140"/>
        <v>0.2263041373</v>
      </c>
      <c r="CM50" s="39">
        <f t="shared" si="140"/>
        <v>0.2253224245</v>
      </c>
      <c r="CN50" s="4"/>
      <c r="CO50" s="4"/>
      <c r="CP50" s="38">
        <f t="shared" ref="CP50:CS50" si="141">1-CP39/CP45</f>
        <v>0.2250642564</v>
      </c>
      <c r="CQ50" s="38">
        <f t="shared" si="141"/>
        <v>0.2259344656</v>
      </c>
      <c r="CR50" s="52">
        <f t="shared" si="141"/>
        <v>0.2262160361</v>
      </c>
      <c r="CS50" s="39">
        <f t="shared" si="141"/>
        <v>0.2250733456</v>
      </c>
      <c r="CT50" s="4"/>
      <c r="CU50" s="4"/>
      <c r="CV50" s="38">
        <f t="shared" ref="CV50:CY50" si="142">1-CV39/CV45</f>
        <v>0.2249259798</v>
      </c>
      <c r="CW50" s="38">
        <f t="shared" si="142"/>
        <v>0.2257690565</v>
      </c>
      <c r="CX50" s="39">
        <f t="shared" si="142"/>
        <v>0.2261969124</v>
      </c>
      <c r="CY50" s="39">
        <f t="shared" si="142"/>
        <v>0.2249421099</v>
      </c>
      <c r="CZ50" s="4"/>
      <c r="DA50" s="4"/>
      <c r="DB50" s="4"/>
      <c r="DC50" s="4"/>
      <c r="DD50" s="4"/>
      <c r="DE50" s="4"/>
    </row>
    <row r="51">
      <c r="M51" s="35"/>
      <c r="N51" s="50"/>
      <c r="O51" s="35"/>
      <c r="P51" s="35"/>
      <c r="Q51" s="50"/>
      <c r="R51" s="51"/>
      <c r="AE51" s="17">
        <v>906625.0</v>
      </c>
      <c r="AF51" s="32">
        <f>576438173/500</f>
        <v>1152876.346</v>
      </c>
      <c r="AG51" s="17">
        <v>1152875.0</v>
      </c>
      <c r="AH51" s="17">
        <v>1153291.0</v>
      </c>
      <c r="AI51" s="32">
        <f t="shared" si="116"/>
        <v>70.83007813</v>
      </c>
      <c r="AJ51" s="30">
        <f t="shared" si="117"/>
        <v>90.06846453</v>
      </c>
      <c r="AK51" s="33">
        <f t="shared" si="118"/>
        <v>416</v>
      </c>
      <c r="AO51" s="17" t="s">
        <v>20</v>
      </c>
      <c r="AP51" s="18" t="s">
        <v>17</v>
      </c>
      <c r="AQ51" s="18">
        <v>128.0</v>
      </c>
      <c r="AR51" s="4"/>
      <c r="AS51" s="4"/>
      <c r="AT51" s="38">
        <f t="shared" ref="AT51:AW51" si="143">1-AT40/AT46</f>
        <v>0.350212751</v>
      </c>
      <c r="AU51" s="38">
        <f t="shared" si="143"/>
        <v>0.3477130444</v>
      </c>
      <c r="AV51" s="39">
        <f t="shared" si="143"/>
        <v>0.433605948</v>
      </c>
      <c r="AW51" s="39">
        <f t="shared" si="143"/>
        <v>0.3495494469</v>
      </c>
      <c r="AX51" s="4"/>
      <c r="AY51" s="4"/>
      <c r="AZ51" s="38">
        <f t="shared" ref="AZ51:BC51" si="144">1-AZ40/AZ46</f>
        <v>0.3481651994</v>
      </c>
      <c r="BA51" s="38">
        <f t="shared" si="144"/>
        <v>0.3471405892</v>
      </c>
      <c r="BB51" s="39">
        <f t="shared" si="144"/>
        <v>0.4329107374</v>
      </c>
      <c r="BC51" s="39">
        <f t="shared" si="144"/>
        <v>0.3480274463</v>
      </c>
      <c r="BD51" s="4"/>
      <c r="BE51" s="4"/>
      <c r="BF51" s="38">
        <f t="shared" ref="BF51:BI51" si="145">1-BF40/BF46</f>
        <v>0.3476064422</v>
      </c>
      <c r="BG51" s="38">
        <f t="shared" si="145"/>
        <v>0.3478823338</v>
      </c>
      <c r="BH51" s="52">
        <f t="shared" si="145"/>
        <v>0.4327381776</v>
      </c>
      <c r="BI51" s="39">
        <f t="shared" si="145"/>
        <v>0.3476194401</v>
      </c>
      <c r="BJ51" s="4"/>
      <c r="BK51" s="4"/>
      <c r="BL51" s="38">
        <f t="shared" ref="BL51:BO51" si="146">1-BL40/BL46</f>
        <v>0.347278266</v>
      </c>
      <c r="BM51" s="38">
        <f t="shared" si="146"/>
        <v>0.346893581</v>
      </c>
      <c r="BN51" s="39">
        <f t="shared" si="146"/>
        <v>0.4327007299</v>
      </c>
      <c r="BO51" s="39">
        <f t="shared" si="146"/>
        <v>0.3470955462</v>
      </c>
      <c r="BP51" s="4"/>
      <c r="BQ51" s="4"/>
      <c r="BR51" s="4"/>
      <c r="BS51" s="4"/>
      <c r="BT51" s="4"/>
      <c r="BU51" s="4"/>
      <c r="BV51" s="4"/>
      <c r="BW51" s="4"/>
      <c r="BX51" s="4"/>
      <c r="BY51" s="17" t="s">
        <v>20</v>
      </c>
      <c r="BZ51" s="18" t="s">
        <v>17</v>
      </c>
      <c r="CA51" s="18">
        <v>128.0</v>
      </c>
      <c r="CB51" s="4"/>
      <c r="CC51" s="4"/>
      <c r="CD51" s="38">
        <f t="shared" ref="CD51:CG51" si="147">1-CD40/CD46</f>
        <v>0.2274853184</v>
      </c>
      <c r="CE51" s="38">
        <f t="shared" si="147"/>
        <v>0.2321165886</v>
      </c>
      <c r="CF51" s="39">
        <f t="shared" si="147"/>
        <v>0.2264684015</v>
      </c>
      <c r="CG51" s="39">
        <f t="shared" si="147"/>
        <v>0.227531048</v>
      </c>
      <c r="CH51" s="4"/>
      <c r="CI51" s="4"/>
      <c r="CJ51" s="38">
        <f t="shared" ref="CJ51:CM51" si="148">1-CJ40/CJ46</f>
        <v>0.2240207662</v>
      </c>
      <c r="CK51" s="38">
        <f t="shared" si="148"/>
        <v>0.2261958142</v>
      </c>
      <c r="CL51" s="39">
        <f t="shared" si="148"/>
        <v>0.2257697283</v>
      </c>
      <c r="CM51" s="39">
        <f t="shared" si="148"/>
        <v>0.2240034641</v>
      </c>
      <c r="CN51" s="4"/>
      <c r="CO51" s="4"/>
      <c r="CP51" s="38">
        <f t="shared" ref="CP51:CS51" si="149">1-CP40/CP46</f>
        <v>0.2230995033</v>
      </c>
      <c r="CQ51" s="38">
        <f t="shared" si="149"/>
        <v>0.226094588</v>
      </c>
      <c r="CR51" s="52">
        <f t="shared" si="149"/>
        <v>0.2255963091</v>
      </c>
      <c r="CS51" s="39">
        <f t="shared" si="149"/>
        <v>0.2231480345</v>
      </c>
      <c r="CT51" s="4"/>
      <c r="CU51" s="4"/>
      <c r="CV51" s="38">
        <f t="shared" ref="CV51:CY51" si="150">1-CV40/CV46</f>
        <v>0.2204288213</v>
      </c>
      <c r="CW51" s="38">
        <f t="shared" si="150"/>
        <v>0.2249940541</v>
      </c>
      <c r="CX51" s="39">
        <f t="shared" si="150"/>
        <v>0.2254089463</v>
      </c>
      <c r="CY51" s="39">
        <f t="shared" si="150"/>
        <v>0.2229546313</v>
      </c>
      <c r="CZ51" s="4"/>
      <c r="DA51" s="4"/>
      <c r="DB51" s="4"/>
      <c r="DC51" s="4"/>
      <c r="DD51" s="4"/>
      <c r="DE51" s="4"/>
    </row>
    <row r="52">
      <c r="M52" s="35"/>
      <c r="N52" s="50"/>
      <c r="O52" s="35"/>
      <c r="P52" s="35"/>
      <c r="Q52" s="50"/>
      <c r="R52" s="51"/>
      <c r="AE52" s="17">
        <v>431285.0</v>
      </c>
      <c r="AF52" s="32">
        <f>369512843/500</f>
        <v>739025.686</v>
      </c>
      <c r="AG52" s="17">
        <v>739020.0</v>
      </c>
      <c r="AH52" s="17">
        <v>740844.0</v>
      </c>
      <c r="AI52" s="32">
        <f t="shared" si="116"/>
        <v>33.69414063</v>
      </c>
      <c r="AJ52" s="30">
        <f t="shared" si="117"/>
        <v>57.73638172</v>
      </c>
      <c r="AK52" s="33">
        <f t="shared" si="118"/>
        <v>1824</v>
      </c>
    </row>
    <row r="53">
      <c r="M53" s="35"/>
      <c r="N53" s="50"/>
      <c r="O53" s="35"/>
      <c r="P53" s="35"/>
      <c r="Q53" s="50"/>
      <c r="R53" s="51"/>
      <c r="AE53" s="17">
        <v>509885.0</v>
      </c>
      <c r="AF53" s="32">
        <f>441161362/500</f>
        <v>882322.724</v>
      </c>
      <c r="AG53" s="17">
        <v>882319.0</v>
      </c>
      <c r="AH53" s="17">
        <v>883204.0</v>
      </c>
      <c r="AI53" s="32">
        <f t="shared" si="116"/>
        <v>39.83476563</v>
      </c>
      <c r="AJ53" s="30">
        <f t="shared" si="117"/>
        <v>68.93146281</v>
      </c>
      <c r="AK53" s="33">
        <f t="shared" si="118"/>
        <v>885</v>
      </c>
    </row>
    <row r="54">
      <c r="M54" s="35"/>
      <c r="N54" s="50"/>
      <c r="O54" s="35"/>
      <c r="P54" s="35"/>
      <c r="Q54" s="50"/>
      <c r="R54" s="51"/>
      <c r="AE54" s="17">
        <v>588185.0</v>
      </c>
      <c r="AF54" s="32">
        <f>509008241/500</f>
        <v>1018016.482</v>
      </c>
      <c r="AG54" s="17">
        <v>1018013.0</v>
      </c>
      <c r="AH54" s="17">
        <v>1018877.0</v>
      </c>
      <c r="AI54" s="32">
        <f t="shared" si="116"/>
        <v>45.95195313</v>
      </c>
      <c r="AJ54" s="30">
        <f t="shared" si="117"/>
        <v>79.53253766</v>
      </c>
      <c r="AK54" s="33">
        <f t="shared" si="118"/>
        <v>864</v>
      </c>
    </row>
    <row r="55">
      <c r="M55" s="35"/>
      <c r="N55" s="50"/>
      <c r="O55" s="35"/>
      <c r="P55" s="35"/>
      <c r="Q55" s="50"/>
      <c r="R55" s="51"/>
      <c r="AE55" s="17">
        <v>653137.0</v>
      </c>
      <c r="AF55" s="32">
        <f>417202724/500</f>
        <v>834405.448</v>
      </c>
      <c r="AG55" s="17">
        <v>834403.0</v>
      </c>
      <c r="AH55" s="17">
        <v>835233.0</v>
      </c>
      <c r="AI55" s="32">
        <f t="shared" si="116"/>
        <v>51.02632813</v>
      </c>
      <c r="AJ55" s="30">
        <f t="shared" si="117"/>
        <v>65.18792563</v>
      </c>
      <c r="AK55" s="33">
        <f t="shared" si="118"/>
        <v>830</v>
      </c>
    </row>
    <row r="56">
      <c r="M56" s="35"/>
      <c r="N56" s="50"/>
      <c r="O56" s="35"/>
      <c r="P56" s="35"/>
      <c r="Q56" s="50"/>
      <c r="R56" s="51"/>
      <c r="AE56" s="17">
        <v>780937.0</v>
      </c>
      <c r="AF56" s="32">
        <f>499742490/500</f>
        <v>999484.98</v>
      </c>
      <c r="AG56" s="17">
        <v>999482.0</v>
      </c>
      <c r="AH56" s="17">
        <v>1000605.0</v>
      </c>
      <c r="AI56" s="32">
        <f t="shared" si="116"/>
        <v>61.01070313</v>
      </c>
      <c r="AJ56" s="30">
        <f t="shared" si="117"/>
        <v>78.08476406</v>
      </c>
      <c r="AK56" s="33">
        <f t="shared" si="118"/>
        <v>1123</v>
      </c>
    </row>
    <row r="57">
      <c r="M57" s="35"/>
      <c r="N57" s="50"/>
      <c r="O57" s="35"/>
      <c r="P57" s="35"/>
      <c r="Q57" s="50"/>
      <c r="R57" s="51"/>
      <c r="AE57" s="17">
        <v>908437.0</v>
      </c>
      <c r="AF57" s="32">
        <f>578059436/500</f>
        <v>1156118.872</v>
      </c>
      <c r="AG57" s="17">
        <v>1156117.0</v>
      </c>
      <c r="AH57" s="17">
        <v>1156660.0</v>
      </c>
      <c r="AI57" s="32">
        <f t="shared" si="116"/>
        <v>70.97164063</v>
      </c>
      <c r="AJ57" s="30">
        <f t="shared" si="117"/>
        <v>90.32178688</v>
      </c>
      <c r="AK57" s="33">
        <f t="shared" si="118"/>
        <v>543</v>
      </c>
    </row>
    <row r="58">
      <c r="M58" s="35"/>
      <c r="N58" s="50"/>
      <c r="O58" s="35"/>
      <c r="P58" s="35"/>
      <c r="Q58" s="50"/>
      <c r="R58" s="51"/>
      <c r="AE58" s="17">
        <v>431936.0</v>
      </c>
      <c r="AF58" s="32">
        <f>370996175/500</f>
        <v>741992.35</v>
      </c>
      <c r="AG58" s="17">
        <v>741990.0</v>
      </c>
      <c r="AH58" s="17">
        <v>742735.0</v>
      </c>
      <c r="AI58" s="32">
        <f t="shared" si="116"/>
        <v>33.745</v>
      </c>
      <c r="AJ58" s="30">
        <f t="shared" si="117"/>
        <v>57.96815234</v>
      </c>
      <c r="AK58" s="33">
        <f t="shared" si="118"/>
        <v>745</v>
      </c>
      <c r="AR58" s="5" t="s">
        <v>67</v>
      </c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7"/>
      <c r="CB58" s="8" t="s">
        <v>67</v>
      </c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7"/>
    </row>
    <row r="59">
      <c r="M59" s="35"/>
      <c r="N59" s="50"/>
      <c r="O59" s="35"/>
      <c r="P59" s="35"/>
      <c r="Q59" s="50"/>
      <c r="R59" s="51"/>
      <c r="AE59" s="17">
        <v>510536.0</v>
      </c>
      <c r="AF59" s="32">
        <f>442916439/500</f>
        <v>885832.878</v>
      </c>
      <c r="AG59" s="17">
        <v>885831.0</v>
      </c>
      <c r="AH59" s="17">
        <v>886326.0</v>
      </c>
      <c r="AI59" s="32">
        <f t="shared" si="116"/>
        <v>39.885625</v>
      </c>
      <c r="AJ59" s="30">
        <f t="shared" si="117"/>
        <v>69.20569359</v>
      </c>
      <c r="AK59" s="33">
        <f t="shared" si="118"/>
        <v>495</v>
      </c>
      <c r="AR59" s="9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1"/>
      <c r="CB59" s="9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1"/>
    </row>
    <row r="60">
      <c r="M60" s="35"/>
      <c r="N60" s="50"/>
      <c r="O60" s="35"/>
      <c r="P60" s="35"/>
      <c r="Q60" s="50"/>
      <c r="R60" s="51"/>
      <c r="AE60" s="17">
        <v>588836.0</v>
      </c>
      <c r="AF60" s="32">
        <f>510843257/500</f>
        <v>1021686.514</v>
      </c>
      <c r="AG60" s="17">
        <v>1021685.0</v>
      </c>
      <c r="AH60" s="17">
        <v>1022095.0</v>
      </c>
      <c r="AI60" s="32">
        <f t="shared" si="116"/>
        <v>46.0028125</v>
      </c>
      <c r="AJ60" s="30">
        <f t="shared" si="117"/>
        <v>79.81925891</v>
      </c>
      <c r="AK60" s="33">
        <f t="shared" si="118"/>
        <v>410</v>
      </c>
      <c r="AR60" s="12" t="s">
        <v>1</v>
      </c>
      <c r="AS60" s="13"/>
      <c r="AT60" s="13"/>
      <c r="AU60" s="13"/>
      <c r="AV60" s="13"/>
      <c r="AW60" s="14"/>
      <c r="AX60" s="12" t="s">
        <v>2</v>
      </c>
      <c r="AY60" s="13"/>
      <c r="AZ60" s="13"/>
      <c r="BA60" s="13"/>
      <c r="BB60" s="13"/>
      <c r="BC60" s="14"/>
      <c r="BD60" s="12" t="s">
        <v>3</v>
      </c>
      <c r="BE60" s="13"/>
      <c r="BF60" s="13"/>
      <c r="BG60" s="13"/>
      <c r="BH60" s="13"/>
      <c r="BI60" s="14"/>
      <c r="BJ60" s="12" t="s">
        <v>4</v>
      </c>
      <c r="BK60" s="13"/>
      <c r="BL60" s="13"/>
      <c r="BM60" s="13"/>
      <c r="BN60" s="13"/>
      <c r="BO60" s="14"/>
      <c r="CB60" s="12" t="s">
        <v>5</v>
      </c>
      <c r="CC60" s="13"/>
      <c r="CD60" s="13"/>
      <c r="CE60" s="13"/>
      <c r="CF60" s="13"/>
      <c r="CG60" s="14"/>
      <c r="CH60" s="12" t="s">
        <v>6</v>
      </c>
      <c r="CI60" s="13"/>
      <c r="CJ60" s="13"/>
      <c r="CK60" s="13"/>
      <c r="CL60" s="13"/>
      <c r="CM60" s="14"/>
      <c r="CN60" s="12" t="s">
        <v>7</v>
      </c>
      <c r="CO60" s="13"/>
      <c r="CP60" s="13"/>
      <c r="CQ60" s="13"/>
      <c r="CR60" s="13"/>
      <c r="CS60" s="14"/>
      <c r="CT60" s="12" t="s">
        <v>8</v>
      </c>
      <c r="CU60" s="13"/>
      <c r="CV60" s="13"/>
      <c r="CW60" s="13"/>
      <c r="CX60" s="13"/>
      <c r="CY60" s="14"/>
    </row>
    <row r="61">
      <c r="M61" s="17">
        <v>124816.0</v>
      </c>
      <c r="N61" s="19">
        <f>175912000/1000</f>
        <v>175912</v>
      </c>
      <c r="O61" s="17">
        <v>175877.0</v>
      </c>
      <c r="P61" s="17">
        <v>176958.0</v>
      </c>
      <c r="Q61" s="29">
        <f t="shared" ref="Q61:Q67" si="151">M61/D35*0.1</f>
        <v>97.5125</v>
      </c>
      <c r="R61" s="30">
        <f t="shared" ref="R61:R67" si="152">N61/D35*0.1</f>
        <v>137.43125</v>
      </c>
      <c r="AE61" s="17">
        <v>843408.0</v>
      </c>
      <c r="AF61" s="32">
        <f>618832979/500</f>
        <v>1237665.958</v>
      </c>
      <c r="AG61" s="17">
        <v>1237624.0</v>
      </c>
      <c r="AH61" s="17">
        <v>1238578.0</v>
      </c>
      <c r="AI61" s="32">
        <f t="shared" si="116"/>
        <v>65.89125</v>
      </c>
      <c r="AJ61" s="30">
        <f t="shared" si="117"/>
        <v>96.69265297</v>
      </c>
      <c r="AK61" s="33">
        <f t="shared" si="118"/>
        <v>954</v>
      </c>
      <c r="AR61" s="15" t="s">
        <v>10</v>
      </c>
      <c r="AS61" s="15" t="s">
        <v>11</v>
      </c>
      <c r="AT61" s="15" t="s">
        <v>12</v>
      </c>
      <c r="AU61" s="15" t="s">
        <v>13</v>
      </c>
      <c r="AV61" s="15" t="s">
        <v>14</v>
      </c>
      <c r="AW61" s="16" t="s">
        <v>15</v>
      </c>
      <c r="AX61" s="15" t="s">
        <v>10</v>
      </c>
      <c r="AY61" s="15" t="s">
        <v>11</v>
      </c>
      <c r="AZ61" s="15" t="s">
        <v>12</v>
      </c>
      <c r="BA61" s="15" t="s">
        <v>13</v>
      </c>
      <c r="BB61" s="15" t="s">
        <v>14</v>
      </c>
      <c r="BC61" s="16" t="s">
        <v>15</v>
      </c>
      <c r="BD61" s="15" t="s">
        <v>10</v>
      </c>
      <c r="BE61" s="15" t="s">
        <v>11</v>
      </c>
      <c r="BF61" s="15" t="s">
        <v>12</v>
      </c>
      <c r="BG61" s="15" t="s">
        <v>13</v>
      </c>
      <c r="BH61" s="15" t="s">
        <v>14</v>
      </c>
      <c r="BI61" s="16" t="s">
        <v>15</v>
      </c>
      <c r="BJ61" s="15" t="s">
        <v>10</v>
      </c>
      <c r="BK61" s="15" t="s">
        <v>11</v>
      </c>
      <c r="BL61" s="15" t="s">
        <v>12</v>
      </c>
      <c r="BM61" s="15" t="s">
        <v>13</v>
      </c>
      <c r="BN61" s="15" t="s">
        <v>14</v>
      </c>
      <c r="BO61" s="16" t="s">
        <v>15</v>
      </c>
      <c r="CB61" s="15" t="s">
        <v>10</v>
      </c>
      <c r="CC61" s="15" t="s">
        <v>11</v>
      </c>
      <c r="CD61" s="15" t="s">
        <v>12</v>
      </c>
      <c r="CE61" s="15" t="s">
        <v>13</v>
      </c>
      <c r="CF61" s="15" t="s">
        <v>14</v>
      </c>
      <c r="CG61" s="16" t="s">
        <v>15</v>
      </c>
      <c r="CH61" s="15" t="s">
        <v>10</v>
      </c>
      <c r="CI61" s="15" t="s">
        <v>11</v>
      </c>
      <c r="CJ61" s="15" t="s">
        <v>12</v>
      </c>
      <c r="CK61" s="15" t="s">
        <v>13</v>
      </c>
      <c r="CL61" s="15" t="s">
        <v>14</v>
      </c>
      <c r="CM61" s="16" t="s">
        <v>15</v>
      </c>
      <c r="CN61" s="15" t="s">
        <v>10</v>
      </c>
      <c r="CO61" s="15" t="s">
        <v>11</v>
      </c>
      <c r="CP61" s="15" t="s">
        <v>12</v>
      </c>
      <c r="CQ61" s="15" t="s">
        <v>13</v>
      </c>
      <c r="CR61" s="15" t="s">
        <v>14</v>
      </c>
      <c r="CS61" s="16" t="s">
        <v>15</v>
      </c>
      <c r="CT61" s="15" t="s">
        <v>10</v>
      </c>
      <c r="CU61" s="15" t="s">
        <v>11</v>
      </c>
      <c r="CV61" s="15" t="s">
        <v>12</v>
      </c>
      <c r="CW61" s="15" t="s">
        <v>13</v>
      </c>
      <c r="CX61" s="15" t="s">
        <v>14</v>
      </c>
      <c r="CY61" s="16" t="s">
        <v>15</v>
      </c>
    </row>
    <row r="62">
      <c r="M62" s="17">
        <v>130828.0</v>
      </c>
      <c r="N62" s="29">
        <f>189860098/1000</f>
        <v>189860.098</v>
      </c>
      <c r="O62" s="17">
        <v>189826.0</v>
      </c>
      <c r="P62" s="17">
        <v>190739.0</v>
      </c>
      <c r="Q62" s="29">
        <f t="shared" si="151"/>
        <v>102.209375</v>
      </c>
      <c r="R62" s="30">
        <f t="shared" si="152"/>
        <v>148.3282016</v>
      </c>
      <c r="AE62" s="17">
        <v>904680.0</v>
      </c>
      <c r="AF62" s="32">
        <f>682949633/500</f>
        <v>1365899.266</v>
      </c>
      <c r="AG62" s="17">
        <v>1365860.0</v>
      </c>
      <c r="AH62" s="17">
        <v>1366749.0</v>
      </c>
      <c r="AI62" s="32">
        <f t="shared" si="116"/>
        <v>70.678125</v>
      </c>
      <c r="AJ62" s="30">
        <f t="shared" si="117"/>
        <v>106.7108802</v>
      </c>
      <c r="AK62" s="33">
        <f t="shared" si="118"/>
        <v>889</v>
      </c>
      <c r="AO62" s="17" t="s">
        <v>16</v>
      </c>
      <c r="AP62" s="18" t="s">
        <v>17</v>
      </c>
      <c r="AQ62" s="18">
        <v>64.0</v>
      </c>
      <c r="AR62" s="17">
        <v>10674.0</v>
      </c>
      <c r="AS62" s="19">
        <f>1698341/100</f>
        <v>16983.41</v>
      </c>
      <c r="AT62" s="17">
        <v>16970.0</v>
      </c>
      <c r="AU62" s="17">
        <v>17804.0</v>
      </c>
      <c r="AV62" s="19">
        <f t="shared" ref="AV62:AV65" si="153">AR62/(10*AQ62)</f>
        <v>16.678125</v>
      </c>
      <c r="AW62" s="20">
        <f t="shared" ref="AW62:AW65" si="154">AS62/(10*AQ62)</f>
        <v>26.53657813</v>
      </c>
      <c r="AX62" s="17">
        <v>25860.0</v>
      </c>
      <c r="AY62" s="19">
        <f>4113572/100</f>
        <v>41135.72</v>
      </c>
      <c r="AZ62" s="17">
        <v>41121.0</v>
      </c>
      <c r="BA62" s="17">
        <v>42103.0</v>
      </c>
      <c r="BB62" s="19">
        <f t="shared" ref="BB62:BB65" si="155">AX62/(40*AQ62)</f>
        <v>10.1015625</v>
      </c>
      <c r="BC62" s="20">
        <f t="shared" ref="BC62:BC65" si="156">AY62/(40*AQ62)</f>
        <v>16.06864063</v>
      </c>
      <c r="BD62" s="17">
        <v>46100.0</v>
      </c>
      <c r="BE62" s="19">
        <f>7334619/100</f>
        <v>73346.19</v>
      </c>
      <c r="BF62" s="17">
        <v>73329.0</v>
      </c>
      <c r="BG62" s="17">
        <v>74585.0</v>
      </c>
      <c r="BH62" s="19">
        <f t="shared" ref="BH62:BH65" si="157">BD62/(80*AQ62)</f>
        <v>9.00390625</v>
      </c>
      <c r="BI62" s="20">
        <f t="shared" ref="BI62:BI65" si="158">BE62/(80*AQ62)</f>
        <v>14.32542773</v>
      </c>
      <c r="BJ62" s="17">
        <v>56220.0</v>
      </c>
      <c r="BK62" s="19">
        <f>8944640/100</f>
        <v>89446.4</v>
      </c>
      <c r="BL62" s="17">
        <v>89425.0</v>
      </c>
      <c r="BM62" s="17">
        <v>90762.0</v>
      </c>
      <c r="BN62" s="19">
        <f t="shared" ref="BN62:BN65" si="159">BJ62/(100*AQ62)</f>
        <v>8.784375</v>
      </c>
      <c r="BO62" s="20">
        <f t="shared" ref="BO62:BO65" si="160">BK62/(100*AQ62)</f>
        <v>13.976</v>
      </c>
      <c r="BY62" s="17" t="s">
        <v>16</v>
      </c>
      <c r="BZ62" s="18" t="s">
        <v>17</v>
      </c>
      <c r="CA62" s="18">
        <v>64.0</v>
      </c>
      <c r="CB62" s="17">
        <v>14530.0</v>
      </c>
      <c r="CC62" s="19">
        <f>1778007/100</f>
        <v>17780.07</v>
      </c>
      <c r="CD62" s="17">
        <v>17765.0</v>
      </c>
      <c r="CE62" s="17">
        <v>18687.0</v>
      </c>
      <c r="CF62" s="19">
        <f t="shared" ref="CF62:CF65" si="161">CB62/(10*CA62)</f>
        <v>22.703125</v>
      </c>
      <c r="CG62" s="20">
        <f t="shared" ref="CG62:CG65" si="162">CC62/(10*CA62)</f>
        <v>27.78135938</v>
      </c>
      <c r="CH62" s="17">
        <v>35236.0</v>
      </c>
      <c r="CI62" s="19">
        <f>4313467/100</f>
        <v>43134.67</v>
      </c>
      <c r="CJ62" s="17">
        <v>43118.0</v>
      </c>
      <c r="CK62" s="17">
        <v>44264.0</v>
      </c>
      <c r="CL62" s="19">
        <f t="shared" ref="CL62:CL65" si="163">CH62/(40*CA62)</f>
        <v>13.7640625</v>
      </c>
      <c r="CM62" s="20">
        <f t="shared" ref="CM62:CM65" si="164">CI62/(40*CA62)</f>
        <v>16.84948047</v>
      </c>
      <c r="CN62" s="17">
        <v>62836.0</v>
      </c>
      <c r="CO62" s="19">
        <f>7693282/100</f>
        <v>76932.82</v>
      </c>
      <c r="CP62" s="17">
        <v>76913.0</v>
      </c>
      <c r="CQ62" s="17">
        <v>78293.0</v>
      </c>
      <c r="CR62" s="19">
        <f t="shared" ref="CR62:CR65" si="165">CN62/(80*CA62)</f>
        <v>12.27265625</v>
      </c>
      <c r="CS62" s="20">
        <f t="shared" ref="CS62:CS65" si="166">CO62/(80*CA62)</f>
        <v>15.02594141</v>
      </c>
      <c r="CT62" s="17">
        <v>76636.0</v>
      </c>
      <c r="CU62" s="19">
        <f>9386916/100</f>
        <v>93869.16</v>
      </c>
      <c r="CV62" s="17">
        <v>93823.0</v>
      </c>
      <c r="CW62" s="17">
        <v>95258.0</v>
      </c>
      <c r="CX62" s="19">
        <f t="shared" ref="CX62:CX65" si="167">CT62/(100*CA62)</f>
        <v>11.974375</v>
      </c>
      <c r="CY62" s="20">
        <f t="shared" ref="CY62:CY65" si="168">CU62/(100*CA62)</f>
        <v>14.66705625</v>
      </c>
    </row>
    <row r="63">
      <c r="M63" s="17">
        <v>139768.0</v>
      </c>
      <c r="N63" s="29">
        <f>203550331/1000</f>
        <v>203550.331</v>
      </c>
      <c r="O63" s="17">
        <v>203517.0</v>
      </c>
      <c r="P63" s="17">
        <v>204305.0</v>
      </c>
      <c r="Q63" s="29">
        <f t="shared" si="151"/>
        <v>109.19375</v>
      </c>
      <c r="R63" s="30">
        <f t="shared" si="152"/>
        <v>159.0236961</v>
      </c>
      <c r="AE63" s="17">
        <v>982026.0</v>
      </c>
      <c r="AF63" s="32">
        <f>744876909/500</f>
        <v>1489753.818</v>
      </c>
      <c r="AG63" s="17">
        <v>1489708.0</v>
      </c>
      <c r="AH63" s="17">
        <v>1490546.0</v>
      </c>
      <c r="AI63" s="32">
        <f t="shared" si="116"/>
        <v>76.72078125</v>
      </c>
      <c r="AJ63" s="30">
        <f t="shared" si="117"/>
        <v>116.387017</v>
      </c>
      <c r="AK63" s="33">
        <f t="shared" si="118"/>
        <v>838</v>
      </c>
      <c r="AO63" s="17" t="s">
        <v>18</v>
      </c>
      <c r="AP63" s="18" t="s">
        <v>17</v>
      </c>
      <c r="AQ63" s="18">
        <v>64.0</v>
      </c>
      <c r="AR63" s="17">
        <v>10694.0</v>
      </c>
      <c r="AS63" s="19">
        <f>1699104/100</f>
        <v>16991.04</v>
      </c>
      <c r="AT63" s="17">
        <v>16983.0</v>
      </c>
      <c r="AU63" s="17">
        <v>17635.0</v>
      </c>
      <c r="AV63" s="19">
        <f t="shared" si="153"/>
        <v>16.709375</v>
      </c>
      <c r="AW63" s="20">
        <f t="shared" si="154"/>
        <v>26.5485</v>
      </c>
      <c r="AX63" s="17">
        <v>25940.0</v>
      </c>
      <c r="AY63" s="19">
        <f>4116317/100</f>
        <v>41163.17</v>
      </c>
      <c r="AZ63" s="17">
        <v>41152.0</v>
      </c>
      <c r="BA63" s="17">
        <v>41975.0</v>
      </c>
      <c r="BB63" s="19">
        <f t="shared" si="155"/>
        <v>10.1328125</v>
      </c>
      <c r="BC63" s="20">
        <f t="shared" si="156"/>
        <v>16.07936328</v>
      </c>
      <c r="BD63" s="17">
        <v>46260.0</v>
      </c>
      <c r="BE63" s="19">
        <f>7336004/100</f>
        <v>73360.04</v>
      </c>
      <c r="BF63" s="17">
        <v>73347.0</v>
      </c>
      <c r="BG63" s="17">
        <v>74382.0</v>
      </c>
      <c r="BH63" s="19">
        <f t="shared" si="157"/>
        <v>9.03515625</v>
      </c>
      <c r="BI63" s="20">
        <f t="shared" si="158"/>
        <v>14.32813281</v>
      </c>
      <c r="BJ63" s="17">
        <v>56420.0</v>
      </c>
      <c r="BK63" s="19">
        <f>8946540/100</f>
        <v>89465.4</v>
      </c>
      <c r="BL63" s="17">
        <v>89448.0</v>
      </c>
      <c r="BM63" s="17">
        <v>90647.0</v>
      </c>
      <c r="BN63" s="19">
        <f t="shared" si="159"/>
        <v>8.815625</v>
      </c>
      <c r="BO63" s="20">
        <f t="shared" si="160"/>
        <v>13.97896875</v>
      </c>
      <c r="BY63" s="17" t="s">
        <v>18</v>
      </c>
      <c r="BZ63" s="18" t="s">
        <v>17</v>
      </c>
      <c r="CA63" s="18">
        <v>64.0</v>
      </c>
      <c r="CB63" s="17">
        <v>14550.0</v>
      </c>
      <c r="CC63" s="19">
        <f>1779220/100</f>
        <v>17792.2</v>
      </c>
      <c r="CD63" s="17">
        <v>17784.0</v>
      </c>
      <c r="CE63" s="17">
        <v>18467.0</v>
      </c>
      <c r="CF63" s="19">
        <f t="shared" si="161"/>
        <v>22.734375</v>
      </c>
      <c r="CG63" s="20">
        <f t="shared" si="162"/>
        <v>27.8003125</v>
      </c>
      <c r="CH63" s="17">
        <v>35316.0</v>
      </c>
      <c r="CI63" s="19">
        <f>4315299/100</f>
        <v>43152.99</v>
      </c>
      <c r="CJ63" s="17">
        <v>43141.0</v>
      </c>
      <c r="CK63" s="17">
        <v>44026.0</v>
      </c>
      <c r="CL63" s="19">
        <f t="shared" si="163"/>
        <v>13.7953125</v>
      </c>
      <c r="CM63" s="20">
        <f t="shared" si="164"/>
        <v>16.85663672</v>
      </c>
      <c r="CN63" s="17">
        <v>62996.0</v>
      </c>
      <c r="CO63" s="19">
        <f>7695420/100</f>
        <v>76954.2</v>
      </c>
      <c r="CP63" s="17">
        <v>76941.0</v>
      </c>
      <c r="CQ63" s="17">
        <v>78016.0</v>
      </c>
      <c r="CR63" s="19">
        <f t="shared" si="165"/>
        <v>12.30390625</v>
      </c>
      <c r="CS63" s="20">
        <f t="shared" si="166"/>
        <v>15.03011719</v>
      </c>
      <c r="CT63" s="17">
        <v>76836.0</v>
      </c>
      <c r="CU63" s="19">
        <f>9388744/100</f>
        <v>93887.44</v>
      </c>
      <c r="CV63" s="17">
        <v>93847.0</v>
      </c>
      <c r="CW63" s="17">
        <v>95105.0</v>
      </c>
      <c r="CX63" s="19">
        <f t="shared" si="167"/>
        <v>12.005625</v>
      </c>
      <c r="CY63" s="20">
        <f t="shared" si="168"/>
        <v>14.6699125</v>
      </c>
    </row>
    <row r="64">
      <c r="M64" s="17">
        <v>26508.0</v>
      </c>
      <c r="N64" s="29">
        <f>36866149/1000</f>
        <v>36866.149</v>
      </c>
      <c r="O64" s="17">
        <v>36849.0</v>
      </c>
      <c r="P64" s="17">
        <v>39313.0</v>
      </c>
      <c r="Q64" s="29">
        <f t="shared" si="151"/>
        <v>41.41875</v>
      </c>
      <c r="R64" s="30">
        <f t="shared" si="152"/>
        <v>57.60335781</v>
      </c>
      <c r="AE64" s="17">
        <v>95582.0</v>
      </c>
      <c r="AF64" s="32">
        <f>54804472/500</f>
        <v>109608.944</v>
      </c>
      <c r="AG64" s="17">
        <v>109453.0</v>
      </c>
      <c r="AH64" s="17">
        <v>111954.0</v>
      </c>
      <c r="AI64" s="32">
        <f t="shared" si="116"/>
        <v>14.9346875</v>
      </c>
      <c r="AJ64" s="30">
        <f t="shared" si="117"/>
        <v>17.1263975</v>
      </c>
      <c r="AK64" s="33">
        <f t="shared" si="118"/>
        <v>2501</v>
      </c>
      <c r="AO64" s="17" t="s">
        <v>19</v>
      </c>
      <c r="AP64" s="18" t="s">
        <v>17</v>
      </c>
      <c r="AQ64" s="18">
        <v>128.0</v>
      </c>
      <c r="AR64" s="17">
        <v>10827.0</v>
      </c>
      <c r="AS64" s="19">
        <f>1739453/100</f>
        <v>17394.53</v>
      </c>
      <c r="AT64" s="17">
        <v>17381.0</v>
      </c>
      <c r="AU64" s="17">
        <v>17958.0</v>
      </c>
      <c r="AV64" s="19">
        <f t="shared" si="153"/>
        <v>8.45859375</v>
      </c>
      <c r="AW64" s="20">
        <f t="shared" si="154"/>
        <v>13.58947656</v>
      </c>
      <c r="AX64" s="17">
        <v>31017.0</v>
      </c>
      <c r="AY64" s="19">
        <f>4985810/100</f>
        <v>49858.1</v>
      </c>
      <c r="AZ64" s="17">
        <v>49846.0</v>
      </c>
      <c r="BA64" s="17">
        <v>50625.0</v>
      </c>
      <c r="BB64" s="19">
        <f t="shared" si="155"/>
        <v>6.058007813</v>
      </c>
      <c r="BC64" s="20">
        <f t="shared" si="156"/>
        <v>9.737910156</v>
      </c>
      <c r="BD64" s="17">
        <v>57937.0</v>
      </c>
      <c r="BE64" s="19">
        <f>9314477/100</f>
        <v>93144.77</v>
      </c>
      <c r="BF64" s="17">
        <v>93131.0</v>
      </c>
      <c r="BG64" s="17">
        <v>94089.0</v>
      </c>
      <c r="BH64" s="19">
        <f t="shared" si="157"/>
        <v>5.657910156</v>
      </c>
      <c r="BI64" s="20">
        <f t="shared" si="158"/>
        <v>9.096168945</v>
      </c>
      <c r="BJ64" s="17">
        <v>71397.0</v>
      </c>
      <c r="BK64" s="19">
        <f>11478900/100</f>
        <v>114789</v>
      </c>
      <c r="BL64" s="17">
        <v>114767.0</v>
      </c>
      <c r="BM64" s="17">
        <v>115939.0</v>
      </c>
      <c r="BN64" s="19">
        <f t="shared" si="159"/>
        <v>5.577890625</v>
      </c>
      <c r="BO64" s="20">
        <f t="shared" si="160"/>
        <v>8.967890625</v>
      </c>
      <c r="BY64" s="17" t="s">
        <v>19</v>
      </c>
      <c r="BZ64" s="18" t="s">
        <v>17</v>
      </c>
      <c r="CA64" s="18">
        <v>128.0</v>
      </c>
      <c r="CB64" s="17">
        <v>14727.0</v>
      </c>
      <c r="CC64" s="19">
        <f>1811060/100</f>
        <v>18110.6</v>
      </c>
      <c r="CD64" s="17">
        <v>18099.0</v>
      </c>
      <c r="CE64" s="17">
        <v>18709.0</v>
      </c>
      <c r="CF64" s="19">
        <f t="shared" si="161"/>
        <v>11.50546875</v>
      </c>
      <c r="CG64" s="20">
        <f t="shared" si="162"/>
        <v>14.14890625</v>
      </c>
      <c r="CH64" s="17">
        <v>42237.0</v>
      </c>
      <c r="CI64" s="19">
        <f>5195132/100</f>
        <v>51951.32</v>
      </c>
      <c r="CJ64" s="17">
        <v>51940.0</v>
      </c>
      <c r="CK64" s="17">
        <v>52672.0</v>
      </c>
      <c r="CL64" s="19">
        <f t="shared" si="163"/>
        <v>8.249414063</v>
      </c>
      <c r="CM64" s="20">
        <f t="shared" si="164"/>
        <v>10.14674219</v>
      </c>
      <c r="CN64" s="17">
        <v>78917.0</v>
      </c>
      <c r="CO64" s="19">
        <f>9706386/100</f>
        <v>97063.86</v>
      </c>
      <c r="CP64" s="17">
        <v>97060.0</v>
      </c>
      <c r="CQ64" s="17">
        <v>98004.0</v>
      </c>
      <c r="CR64" s="19">
        <f t="shared" si="165"/>
        <v>7.706738281</v>
      </c>
      <c r="CS64" s="20">
        <f t="shared" si="166"/>
        <v>9.478892578</v>
      </c>
      <c r="CT64" s="17">
        <v>97257.0</v>
      </c>
      <c r="CU64" s="19">
        <f>11970735/100</f>
        <v>119707.35</v>
      </c>
      <c r="CV64" s="17">
        <v>119646.0</v>
      </c>
      <c r="CW64" s="17">
        <v>120830.0</v>
      </c>
      <c r="CX64" s="19">
        <f t="shared" si="167"/>
        <v>7.598203125</v>
      </c>
      <c r="CY64" s="20">
        <f t="shared" si="168"/>
        <v>9.352136719</v>
      </c>
    </row>
    <row r="65">
      <c r="M65" s="17">
        <v>26472.0</v>
      </c>
      <c r="N65" s="29">
        <f>36728469/1000</f>
        <v>36728.469</v>
      </c>
      <c r="O65" s="17">
        <v>36719.0</v>
      </c>
      <c r="P65" s="17">
        <v>38843.0</v>
      </c>
      <c r="Q65" s="29">
        <f t="shared" si="151"/>
        <v>41.3625</v>
      </c>
      <c r="R65" s="30">
        <f t="shared" si="152"/>
        <v>57.38823281</v>
      </c>
      <c r="AE65" s="17">
        <v>95186.0</v>
      </c>
      <c r="AF65" s="32">
        <f>54169795/500</f>
        <v>108339.59</v>
      </c>
      <c r="AG65" s="17">
        <v>108172.0</v>
      </c>
      <c r="AH65" s="17">
        <v>110484.0</v>
      </c>
      <c r="AI65" s="32">
        <f t="shared" si="116"/>
        <v>14.8728125</v>
      </c>
      <c r="AJ65" s="30">
        <f t="shared" si="117"/>
        <v>16.92806094</v>
      </c>
      <c r="AK65" s="33">
        <f t="shared" si="118"/>
        <v>2312</v>
      </c>
      <c r="AO65" s="17" t="s">
        <v>20</v>
      </c>
      <c r="AP65" s="18" t="s">
        <v>17</v>
      </c>
      <c r="AQ65" s="18">
        <v>128.0</v>
      </c>
      <c r="AR65" s="17">
        <v>10865.0</v>
      </c>
      <c r="AS65" s="17">
        <f>1740060/100</f>
        <v>17400.6</v>
      </c>
      <c r="AT65" s="17">
        <v>17387.0</v>
      </c>
      <c r="AU65" s="17">
        <v>18000.0</v>
      </c>
      <c r="AV65" s="19">
        <f t="shared" si="153"/>
        <v>8.48828125</v>
      </c>
      <c r="AW65" s="20">
        <f t="shared" si="154"/>
        <v>13.59421875</v>
      </c>
      <c r="AX65" s="17">
        <v>31175.0</v>
      </c>
      <c r="AY65" s="19">
        <f>4985218/100</f>
        <v>49852.18</v>
      </c>
      <c r="AZ65" s="17">
        <v>49842.0</v>
      </c>
      <c r="BA65" s="17">
        <v>50644.0</v>
      </c>
      <c r="BB65" s="19">
        <f t="shared" si="155"/>
        <v>6.088867188</v>
      </c>
      <c r="BC65" s="20">
        <f t="shared" si="156"/>
        <v>9.736753906</v>
      </c>
      <c r="BD65" s="17">
        <v>58255.0</v>
      </c>
      <c r="BE65" s="19">
        <f>9313343/100</f>
        <v>93133.43</v>
      </c>
      <c r="BF65" s="17">
        <v>93120.0</v>
      </c>
      <c r="BG65" s="17">
        <v>94166.0</v>
      </c>
      <c r="BH65" s="19">
        <f t="shared" si="157"/>
        <v>5.688964844</v>
      </c>
      <c r="BI65" s="20">
        <f t="shared" si="158"/>
        <v>9.095061523</v>
      </c>
      <c r="BJ65" s="17">
        <v>71795.0</v>
      </c>
      <c r="BK65" s="19">
        <f>11478589/100</f>
        <v>114785.89</v>
      </c>
      <c r="BL65" s="17">
        <v>114767.0</v>
      </c>
      <c r="BM65" s="17">
        <v>116033.0</v>
      </c>
      <c r="BN65" s="19">
        <f t="shared" si="159"/>
        <v>5.608984375</v>
      </c>
      <c r="BO65" s="20">
        <f t="shared" si="160"/>
        <v>8.967647656</v>
      </c>
      <c r="BY65" s="17" t="s">
        <v>20</v>
      </c>
      <c r="BZ65" s="18" t="s">
        <v>17</v>
      </c>
      <c r="CA65" s="18">
        <v>128.0</v>
      </c>
      <c r="CB65" s="17">
        <v>14765.0</v>
      </c>
      <c r="CC65" s="17">
        <f>1810809/100</f>
        <v>18108.09</v>
      </c>
      <c r="CD65" s="17">
        <v>18099.0</v>
      </c>
      <c r="CE65" s="17">
        <v>18743.0</v>
      </c>
      <c r="CF65" s="19">
        <f t="shared" si="161"/>
        <v>11.53515625</v>
      </c>
      <c r="CG65" s="20">
        <f t="shared" si="162"/>
        <v>14.14694531</v>
      </c>
      <c r="CH65" s="17">
        <v>42395.0</v>
      </c>
      <c r="CI65" s="19">
        <f>5194685/100</f>
        <v>51946.85</v>
      </c>
      <c r="CJ65" s="17">
        <v>51936.0</v>
      </c>
      <c r="CK65" s="17">
        <v>52757.0</v>
      </c>
      <c r="CL65" s="19">
        <f t="shared" si="163"/>
        <v>8.280273438</v>
      </c>
      <c r="CM65" s="20">
        <f t="shared" si="164"/>
        <v>10.14586914</v>
      </c>
      <c r="CN65" s="17">
        <v>79235.0</v>
      </c>
      <c r="CO65" s="19">
        <f>9706569/100</f>
        <v>97065.69</v>
      </c>
      <c r="CP65" s="17">
        <v>97052.0</v>
      </c>
      <c r="CQ65" s="17">
        <v>98069.0</v>
      </c>
      <c r="CR65" s="19">
        <f t="shared" si="165"/>
        <v>7.737792969</v>
      </c>
      <c r="CS65" s="20">
        <f t="shared" si="166"/>
        <v>9.479071289</v>
      </c>
      <c r="CT65" s="17">
        <v>97655.0</v>
      </c>
      <c r="CU65" s="19">
        <f>11970169/100</f>
        <v>119701.69</v>
      </c>
      <c r="CV65" s="17">
        <v>119650.0</v>
      </c>
      <c r="CW65" s="17">
        <v>120954.0</v>
      </c>
      <c r="CX65" s="19">
        <f t="shared" si="167"/>
        <v>7.629296875</v>
      </c>
      <c r="CY65" s="20">
        <f t="shared" si="168"/>
        <v>9.351694531</v>
      </c>
    </row>
    <row r="66">
      <c r="M66" s="17">
        <v>23837.0</v>
      </c>
      <c r="N66" s="32">
        <f>31653071/1000</f>
        <v>31653.071</v>
      </c>
      <c r="O66" s="17">
        <v>31565.0</v>
      </c>
      <c r="P66" s="17">
        <v>32839.0</v>
      </c>
      <c r="Q66" s="29">
        <f t="shared" si="151"/>
        <v>18.62265625</v>
      </c>
      <c r="R66" s="30">
        <f t="shared" si="152"/>
        <v>24.72896172</v>
      </c>
      <c r="AE66" s="17">
        <v>132013.0</v>
      </c>
      <c r="AF66" s="32">
        <f>95633253/500</f>
        <v>191266.506</v>
      </c>
      <c r="AG66" s="17">
        <v>191150.0</v>
      </c>
      <c r="AH66" s="17">
        <v>192889.0</v>
      </c>
      <c r="AI66" s="32">
        <f t="shared" si="116"/>
        <v>10.31351563</v>
      </c>
      <c r="AJ66" s="30">
        <f t="shared" si="117"/>
        <v>14.94269578</v>
      </c>
      <c r="AK66" s="33">
        <f t="shared" si="118"/>
        <v>1739</v>
      </c>
      <c r="AR66" s="23" t="s">
        <v>26</v>
      </c>
      <c r="AS66" s="13"/>
      <c r="AT66" s="13"/>
      <c r="AU66" s="13"/>
      <c r="AV66" s="13"/>
      <c r="AW66" s="14"/>
      <c r="AX66" s="23" t="s">
        <v>27</v>
      </c>
      <c r="AY66" s="13"/>
      <c r="AZ66" s="13"/>
      <c r="BA66" s="13"/>
      <c r="BB66" s="13"/>
      <c r="BC66" s="14"/>
      <c r="BD66" s="23" t="s">
        <v>28</v>
      </c>
      <c r="BE66" s="13"/>
      <c r="BF66" s="13"/>
      <c r="BG66" s="13"/>
      <c r="BH66" s="13"/>
      <c r="BI66" s="14"/>
      <c r="BJ66" s="23" t="s">
        <v>29</v>
      </c>
      <c r="BK66" s="13"/>
      <c r="BL66" s="13"/>
      <c r="BM66" s="13"/>
      <c r="BN66" s="13"/>
      <c r="BO66" s="14"/>
      <c r="CB66" s="23" t="s">
        <v>26</v>
      </c>
      <c r="CC66" s="13"/>
      <c r="CD66" s="13"/>
      <c r="CE66" s="13"/>
      <c r="CF66" s="13"/>
      <c r="CG66" s="14"/>
      <c r="CH66" s="23" t="s">
        <v>27</v>
      </c>
      <c r="CI66" s="13"/>
      <c r="CJ66" s="13"/>
      <c r="CK66" s="13"/>
      <c r="CL66" s="13"/>
      <c r="CM66" s="14"/>
      <c r="CN66" s="23" t="s">
        <v>28</v>
      </c>
      <c r="CO66" s="13"/>
      <c r="CP66" s="13"/>
      <c r="CQ66" s="13"/>
      <c r="CR66" s="13"/>
      <c r="CS66" s="14"/>
      <c r="CT66" s="23" t="s">
        <v>29</v>
      </c>
      <c r="CU66" s="13"/>
      <c r="CV66" s="13"/>
      <c r="CW66" s="13"/>
      <c r="CX66" s="13"/>
      <c r="CY66" s="14"/>
    </row>
    <row r="67">
      <c r="M67" s="17">
        <v>23739.0</v>
      </c>
      <c r="N67" s="32">
        <f>31177880/1000</f>
        <v>31177.88</v>
      </c>
      <c r="O67" s="17">
        <v>31056.0</v>
      </c>
      <c r="P67" s="17">
        <v>32146.0</v>
      </c>
      <c r="Q67" s="29">
        <f t="shared" si="151"/>
        <v>18.54609375</v>
      </c>
      <c r="R67" s="30">
        <f t="shared" si="152"/>
        <v>24.35771875</v>
      </c>
      <c r="AE67" s="17">
        <v>118214.0</v>
      </c>
      <c r="AF67" s="29">
        <f>66405526/500</f>
        <v>132811.052</v>
      </c>
      <c r="AG67" s="17">
        <v>132686.0</v>
      </c>
      <c r="AH67" s="17">
        <v>134261.0</v>
      </c>
      <c r="AI67" s="32">
        <f t="shared" si="116"/>
        <v>9.23546875</v>
      </c>
      <c r="AJ67" s="30">
        <f t="shared" si="117"/>
        <v>10.37586344</v>
      </c>
      <c r="AK67" s="33">
        <f t="shared" si="118"/>
        <v>1575</v>
      </c>
      <c r="AR67" s="15" t="s">
        <v>10</v>
      </c>
      <c r="AS67" s="15" t="s">
        <v>11</v>
      </c>
      <c r="AT67" s="15" t="s">
        <v>12</v>
      </c>
      <c r="AU67" s="15" t="s">
        <v>13</v>
      </c>
      <c r="AV67" s="15" t="s">
        <v>14</v>
      </c>
      <c r="AW67" s="16" t="s">
        <v>15</v>
      </c>
      <c r="AX67" s="15" t="s">
        <v>10</v>
      </c>
      <c r="AY67" s="15" t="s">
        <v>11</v>
      </c>
      <c r="AZ67" s="15" t="s">
        <v>12</v>
      </c>
      <c r="BA67" s="15" t="s">
        <v>13</v>
      </c>
      <c r="BB67" s="15" t="s">
        <v>14</v>
      </c>
      <c r="BC67" s="16" t="s">
        <v>15</v>
      </c>
      <c r="BD67" s="15" t="s">
        <v>10</v>
      </c>
      <c r="BE67" s="15" t="s">
        <v>11</v>
      </c>
      <c r="BF67" s="15" t="s">
        <v>12</v>
      </c>
      <c r="BG67" s="15" t="s">
        <v>13</v>
      </c>
      <c r="BH67" s="15" t="s">
        <v>14</v>
      </c>
      <c r="BI67" s="16" t="s">
        <v>15</v>
      </c>
      <c r="BJ67" s="15" t="s">
        <v>10</v>
      </c>
      <c r="BK67" s="15" t="s">
        <v>11</v>
      </c>
      <c r="BL67" s="15" t="s">
        <v>12</v>
      </c>
      <c r="BM67" s="15" t="s">
        <v>13</v>
      </c>
      <c r="BN67" s="15" t="s">
        <v>14</v>
      </c>
      <c r="BO67" s="16" t="s">
        <v>15</v>
      </c>
      <c r="CB67" s="15" t="s">
        <v>10</v>
      </c>
      <c r="CC67" s="15" t="s">
        <v>11</v>
      </c>
      <c r="CD67" s="15" t="s">
        <v>12</v>
      </c>
      <c r="CE67" s="15" t="s">
        <v>13</v>
      </c>
      <c r="CF67" s="15" t="s">
        <v>14</v>
      </c>
      <c r="CG67" s="16" t="s">
        <v>15</v>
      </c>
      <c r="CH67" s="15" t="s">
        <v>10</v>
      </c>
      <c r="CI67" s="15" t="s">
        <v>11</v>
      </c>
      <c r="CJ67" s="15" t="s">
        <v>12</v>
      </c>
      <c r="CK67" s="15" t="s">
        <v>13</v>
      </c>
      <c r="CL67" s="15" t="s">
        <v>14</v>
      </c>
      <c r="CM67" s="16" t="s">
        <v>15</v>
      </c>
      <c r="CN67" s="15" t="s">
        <v>10</v>
      </c>
      <c r="CO67" s="15" t="s">
        <v>11</v>
      </c>
      <c r="CP67" s="15" t="s">
        <v>12</v>
      </c>
      <c r="CQ67" s="15" t="s">
        <v>13</v>
      </c>
      <c r="CR67" s="15" t="s">
        <v>14</v>
      </c>
      <c r="CS67" s="16" t="s">
        <v>15</v>
      </c>
      <c r="CT67" s="15" t="s">
        <v>10</v>
      </c>
      <c r="CU67" s="15" t="s">
        <v>11</v>
      </c>
      <c r="CV67" s="15" t="s">
        <v>12</v>
      </c>
      <c r="CW67" s="15" t="s">
        <v>13</v>
      </c>
      <c r="CX67" s="15" t="s">
        <v>14</v>
      </c>
      <c r="CY67" s="16" t="s">
        <v>15</v>
      </c>
    </row>
    <row r="68">
      <c r="M68" s="22" t="s">
        <v>68</v>
      </c>
      <c r="N68" s="13"/>
      <c r="O68" s="13"/>
      <c r="P68" s="13"/>
      <c r="Q68" s="13"/>
      <c r="R68" s="14"/>
      <c r="AE68" s="21" t="s">
        <v>69</v>
      </c>
      <c r="AF68" s="13"/>
      <c r="AG68" s="13"/>
      <c r="AH68" s="13"/>
      <c r="AI68" s="13"/>
      <c r="AJ68" s="14"/>
      <c r="AO68" s="17" t="s">
        <v>16</v>
      </c>
      <c r="AP68" s="18" t="s">
        <v>17</v>
      </c>
      <c r="AQ68" s="18">
        <v>64.0</v>
      </c>
      <c r="AR68" s="17">
        <v>18857.0</v>
      </c>
      <c r="AS68" s="19">
        <f>2123546/100</f>
        <v>21235.46</v>
      </c>
      <c r="AT68" s="17">
        <v>21218.0</v>
      </c>
      <c r="AU68" s="17">
        <v>22316.0</v>
      </c>
      <c r="AV68" s="19">
        <f t="shared" ref="AV68:AV71" si="169">AR68/(10*AQ62)</f>
        <v>29.4640625</v>
      </c>
      <c r="AW68" s="20">
        <f t="shared" ref="AW68:AW71" si="170">AS68/(10*AQ62)</f>
        <v>33.18040625</v>
      </c>
      <c r="AX68" s="17">
        <v>45713.0</v>
      </c>
      <c r="AY68" s="19">
        <f>5139004/100</f>
        <v>51390.04</v>
      </c>
      <c r="AZ68" s="17">
        <v>51371.0</v>
      </c>
      <c r="BA68" s="17">
        <v>52663.0</v>
      </c>
      <c r="BB68" s="19">
        <f t="shared" ref="BB68:BB71" si="171">AX68/(40*AQ62)</f>
        <v>17.85664063</v>
      </c>
      <c r="BC68" s="20">
        <f t="shared" ref="BC68:BC71" si="172">AY68/(40*AQ62)</f>
        <v>20.07423438</v>
      </c>
      <c r="BD68" s="17">
        <v>81513.0</v>
      </c>
      <c r="BE68" s="19">
        <f>9160181/100</f>
        <v>91601.81</v>
      </c>
      <c r="BF68" s="17">
        <v>91581.0</v>
      </c>
      <c r="BG68" s="17">
        <v>93079.0</v>
      </c>
      <c r="BH68" s="19">
        <f t="shared" ref="BH68:BH71" si="173">BD68/(80*AQ62)</f>
        <v>15.92050781</v>
      </c>
      <c r="BI68" s="20">
        <f t="shared" ref="BI68:BI71" si="174">BE68/(80*AQ62)</f>
        <v>17.89097852</v>
      </c>
      <c r="BJ68" s="3">
        <v>99413.0</v>
      </c>
      <c r="BK68" s="17">
        <f>11174519/100</f>
        <v>111745.19</v>
      </c>
      <c r="BL68" s="17">
        <v>111697.0</v>
      </c>
      <c r="BM68" s="17">
        <v>113320.0</v>
      </c>
      <c r="BN68" s="19">
        <f t="shared" ref="BN68:BN71" si="175">BJ68/(100*AQ62)</f>
        <v>15.53328125</v>
      </c>
      <c r="BO68" s="20">
        <f t="shared" ref="BO68:BO71" si="176">BK68/(100*AQ62)</f>
        <v>17.46018594</v>
      </c>
      <c r="BY68" s="17" t="s">
        <v>16</v>
      </c>
      <c r="BZ68" s="18" t="s">
        <v>17</v>
      </c>
      <c r="CA68" s="18">
        <v>64.0</v>
      </c>
      <c r="CB68" s="17">
        <v>18857.0</v>
      </c>
      <c r="CC68" s="19">
        <f>2123546/100</f>
        <v>21235.46</v>
      </c>
      <c r="CD68" s="17">
        <v>21218.0</v>
      </c>
      <c r="CE68" s="17">
        <v>22316.0</v>
      </c>
      <c r="CF68" s="19">
        <f t="shared" ref="CF68:CF71" si="177">CB68/(10*CA62)</f>
        <v>29.4640625</v>
      </c>
      <c r="CG68" s="20">
        <f t="shared" ref="CG68:CG71" si="178">CC68/(10*CA62)</f>
        <v>33.18040625</v>
      </c>
      <c r="CH68" s="17">
        <v>45713.0</v>
      </c>
      <c r="CI68" s="19">
        <f>5139004/100</f>
        <v>51390.04</v>
      </c>
      <c r="CJ68" s="17">
        <v>51371.0</v>
      </c>
      <c r="CK68" s="17">
        <v>52663.0</v>
      </c>
      <c r="CL68" s="19">
        <f t="shared" ref="CL68:CL71" si="179">CH68/(40*CA62)</f>
        <v>17.85664063</v>
      </c>
      <c r="CM68" s="20">
        <f t="shared" ref="CM68:CM71" si="180">CI68/(40*CA62)</f>
        <v>20.07423438</v>
      </c>
      <c r="CN68" s="17">
        <v>81513.0</v>
      </c>
      <c r="CO68" s="19">
        <f>9160181/100</f>
        <v>91601.81</v>
      </c>
      <c r="CP68" s="17">
        <v>91581.0</v>
      </c>
      <c r="CQ68" s="17">
        <v>93079.0</v>
      </c>
      <c r="CR68" s="19">
        <f t="shared" ref="CR68:CR71" si="181">CN68/(80*CA62)</f>
        <v>15.92050781</v>
      </c>
      <c r="CS68" s="20">
        <f t="shared" ref="CS68:CS71" si="182">CO68/(80*CA62)</f>
        <v>17.89097852</v>
      </c>
      <c r="CT68" s="3">
        <v>99413.0</v>
      </c>
      <c r="CU68" s="17">
        <f>11174519/100</f>
        <v>111745.19</v>
      </c>
      <c r="CV68" s="17">
        <v>111697.0</v>
      </c>
      <c r="CW68" s="17">
        <v>113320.0</v>
      </c>
      <c r="CX68" s="19">
        <f t="shared" ref="CX68:CX71" si="183">CT68/(100*CA62)</f>
        <v>15.53328125</v>
      </c>
      <c r="CY68" s="20">
        <f t="shared" ref="CY68:CY71" si="184">CU68/(100*CA62)</f>
        <v>17.46018594</v>
      </c>
    </row>
    <row r="69">
      <c r="M69" s="15" t="s">
        <v>10</v>
      </c>
      <c r="N69" s="15" t="s">
        <v>11</v>
      </c>
      <c r="O69" s="15" t="s">
        <v>12</v>
      </c>
      <c r="P69" s="15" t="s">
        <v>13</v>
      </c>
      <c r="Q69" s="15" t="s">
        <v>14</v>
      </c>
      <c r="R69" s="16" t="s">
        <v>15</v>
      </c>
      <c r="AE69" s="15" t="s">
        <v>10</v>
      </c>
      <c r="AF69" s="15" t="s">
        <v>11</v>
      </c>
      <c r="AG69" s="15" t="s">
        <v>12</v>
      </c>
      <c r="AH69" s="15" t="s">
        <v>13</v>
      </c>
      <c r="AI69" s="15" t="s">
        <v>14</v>
      </c>
      <c r="AJ69" s="16" t="s">
        <v>15</v>
      </c>
      <c r="AK69" s="24" t="s">
        <v>34</v>
      </c>
      <c r="AO69" s="17" t="s">
        <v>18</v>
      </c>
      <c r="AP69" s="18" t="s">
        <v>17</v>
      </c>
      <c r="AQ69" s="18">
        <v>64.0</v>
      </c>
      <c r="AR69" s="17">
        <v>18877.0</v>
      </c>
      <c r="AS69" s="17">
        <f>2125489/100</f>
        <v>21254.89</v>
      </c>
      <c r="AT69" s="17">
        <v>21242.0</v>
      </c>
      <c r="AU69" s="17">
        <v>22103.0</v>
      </c>
      <c r="AV69" s="19">
        <f t="shared" si="169"/>
        <v>29.4953125</v>
      </c>
      <c r="AW69" s="20">
        <f t="shared" si="170"/>
        <v>33.21076563</v>
      </c>
      <c r="AX69" s="17">
        <v>45793.0</v>
      </c>
      <c r="AY69" s="19">
        <f>5142432/100</f>
        <v>51424.32</v>
      </c>
      <c r="AZ69" s="17">
        <v>51408.0</v>
      </c>
      <c r="BA69" s="17">
        <v>52560.0</v>
      </c>
      <c r="BB69" s="19">
        <f t="shared" si="171"/>
        <v>17.88789063</v>
      </c>
      <c r="BC69" s="20">
        <f t="shared" si="172"/>
        <v>20.087625</v>
      </c>
      <c r="BD69" s="17">
        <v>81673.0</v>
      </c>
      <c r="BE69" s="19">
        <f>9163681/100</f>
        <v>91636.81</v>
      </c>
      <c r="BF69" s="17">
        <v>91618.0</v>
      </c>
      <c r="BG69" s="17">
        <v>92992.0</v>
      </c>
      <c r="BH69" s="19">
        <f t="shared" si="173"/>
        <v>15.95175781</v>
      </c>
      <c r="BI69" s="20">
        <f t="shared" si="174"/>
        <v>17.89781445</v>
      </c>
      <c r="BJ69" s="17">
        <v>99613.0</v>
      </c>
      <c r="BK69" s="17">
        <f>11177262/100</f>
        <v>111772.62</v>
      </c>
      <c r="BL69" s="17">
        <v>111729.0</v>
      </c>
      <c r="BM69" s="17">
        <v>113179.0</v>
      </c>
      <c r="BN69" s="19">
        <f t="shared" si="175"/>
        <v>15.56453125</v>
      </c>
      <c r="BO69" s="20">
        <f t="shared" si="176"/>
        <v>17.46447188</v>
      </c>
      <c r="BY69" s="17" t="s">
        <v>18</v>
      </c>
      <c r="BZ69" s="18" t="s">
        <v>17</v>
      </c>
      <c r="CA69" s="18">
        <v>64.0</v>
      </c>
      <c r="CB69" s="17">
        <v>18877.0</v>
      </c>
      <c r="CC69" s="17">
        <f>2125489/100</f>
        <v>21254.89</v>
      </c>
      <c r="CD69" s="17">
        <v>21242.0</v>
      </c>
      <c r="CE69" s="17">
        <v>22103.0</v>
      </c>
      <c r="CF69" s="19">
        <f t="shared" si="177"/>
        <v>29.4953125</v>
      </c>
      <c r="CG69" s="20">
        <f t="shared" si="178"/>
        <v>33.21076563</v>
      </c>
      <c r="CH69" s="17">
        <v>45793.0</v>
      </c>
      <c r="CI69" s="19">
        <f>5142432/100</f>
        <v>51424.32</v>
      </c>
      <c r="CJ69" s="17">
        <v>51408.0</v>
      </c>
      <c r="CK69" s="17">
        <v>52560.0</v>
      </c>
      <c r="CL69" s="19">
        <f t="shared" si="179"/>
        <v>17.88789063</v>
      </c>
      <c r="CM69" s="20">
        <f t="shared" si="180"/>
        <v>20.087625</v>
      </c>
      <c r="CN69" s="17">
        <v>81673.0</v>
      </c>
      <c r="CO69" s="19">
        <f>9163681/100</f>
        <v>91636.81</v>
      </c>
      <c r="CP69" s="17">
        <v>91618.0</v>
      </c>
      <c r="CQ69" s="17">
        <v>92992.0</v>
      </c>
      <c r="CR69" s="19">
        <f t="shared" si="181"/>
        <v>15.95175781</v>
      </c>
      <c r="CS69" s="20">
        <f t="shared" si="182"/>
        <v>17.89781445</v>
      </c>
      <c r="CT69" s="17">
        <v>99613.0</v>
      </c>
      <c r="CU69" s="17">
        <f>11177262/100</f>
        <v>111772.62</v>
      </c>
      <c r="CV69" s="17">
        <v>111729.0</v>
      </c>
      <c r="CW69" s="17">
        <v>113179.0</v>
      </c>
      <c r="CX69" s="19">
        <f t="shared" si="183"/>
        <v>15.56453125</v>
      </c>
      <c r="CY69" s="20">
        <f t="shared" si="184"/>
        <v>17.46447188</v>
      </c>
    </row>
    <row r="70">
      <c r="M70" s="35"/>
      <c r="N70" s="50"/>
      <c r="O70" s="35"/>
      <c r="P70" s="35"/>
      <c r="Q70" s="50"/>
      <c r="R70" s="51"/>
      <c r="AE70" s="17">
        <f>198328</f>
        <v>198328</v>
      </c>
      <c r="AF70" s="32">
        <f>22484596/100</f>
        <v>224845.96</v>
      </c>
      <c r="AG70" s="17">
        <v>224776.0</v>
      </c>
      <c r="AH70" s="17">
        <v>228296.0</v>
      </c>
      <c r="AI70" s="32">
        <f t="shared" ref="AI70:AI93" si="185">AE70/(100*D18)</f>
        <v>3.87359375</v>
      </c>
      <c r="AJ70" s="30">
        <f t="shared" ref="AJ70:AJ93" si="186">AF70/(100*D18)</f>
        <v>4.391522656</v>
      </c>
      <c r="AK70" s="33">
        <f t="shared" ref="AK70:AK93" si="187">AH70-AG70</f>
        <v>3520</v>
      </c>
      <c r="AO70" s="17" t="s">
        <v>19</v>
      </c>
      <c r="AP70" s="18" t="s">
        <v>17</v>
      </c>
      <c r="AQ70" s="18">
        <v>128.0</v>
      </c>
      <c r="AR70" s="17">
        <v>19170.0</v>
      </c>
      <c r="AS70" s="19">
        <f>2170139/100</f>
        <v>21701.39</v>
      </c>
      <c r="AT70" s="17">
        <v>21691.0</v>
      </c>
      <c r="AU70" s="17">
        <v>22397.0</v>
      </c>
      <c r="AV70" s="19">
        <f t="shared" si="169"/>
        <v>14.9765625</v>
      </c>
      <c r="AW70" s="20">
        <f t="shared" si="170"/>
        <v>16.95421094</v>
      </c>
      <c r="AX70" s="17">
        <v>54990.0</v>
      </c>
      <c r="AY70" s="19">
        <f>6221904/100</f>
        <v>62219.04</v>
      </c>
      <c r="AZ70" s="17">
        <v>62207.0</v>
      </c>
      <c r="BA70" s="17">
        <v>63069.0</v>
      </c>
      <c r="BB70" s="19">
        <f t="shared" si="171"/>
        <v>10.74023438</v>
      </c>
      <c r="BC70" s="20">
        <f t="shared" si="172"/>
        <v>12.15215625</v>
      </c>
      <c r="BD70" s="17">
        <v>102750.0</v>
      </c>
      <c r="BE70" s="19">
        <f>11624018/100</f>
        <v>116240.18</v>
      </c>
      <c r="BF70" s="17">
        <v>116226.0</v>
      </c>
      <c r="BG70" s="17">
        <v>117238.0</v>
      </c>
      <c r="BH70" s="19">
        <f t="shared" si="173"/>
        <v>10.03417969</v>
      </c>
      <c r="BI70" s="20">
        <f t="shared" si="174"/>
        <v>11.35158008</v>
      </c>
      <c r="BJ70" s="17">
        <v>126630.0</v>
      </c>
      <c r="BK70" s="17">
        <f>14332621/100</f>
        <v>143326.21</v>
      </c>
      <c r="BL70" s="17">
        <v>143253.0</v>
      </c>
      <c r="BM70" s="17">
        <v>144520.0</v>
      </c>
      <c r="BN70" s="19">
        <f t="shared" si="175"/>
        <v>9.89296875</v>
      </c>
      <c r="BO70" s="20">
        <f t="shared" si="176"/>
        <v>11.19736016</v>
      </c>
      <c r="BY70" s="17" t="s">
        <v>19</v>
      </c>
      <c r="BZ70" s="18" t="s">
        <v>17</v>
      </c>
      <c r="CA70" s="18">
        <v>128.0</v>
      </c>
      <c r="CB70" s="17">
        <v>19170.0</v>
      </c>
      <c r="CC70" s="19">
        <f>2170139/100</f>
        <v>21701.39</v>
      </c>
      <c r="CD70" s="17">
        <v>21691.0</v>
      </c>
      <c r="CE70" s="17">
        <v>22397.0</v>
      </c>
      <c r="CF70" s="19">
        <f t="shared" si="177"/>
        <v>14.9765625</v>
      </c>
      <c r="CG70" s="20">
        <f t="shared" si="178"/>
        <v>16.95421094</v>
      </c>
      <c r="CH70" s="17">
        <v>54990.0</v>
      </c>
      <c r="CI70" s="19">
        <f>6221904/100</f>
        <v>62219.04</v>
      </c>
      <c r="CJ70" s="17">
        <v>62207.0</v>
      </c>
      <c r="CK70" s="17">
        <v>63069.0</v>
      </c>
      <c r="CL70" s="19">
        <f t="shared" si="179"/>
        <v>10.74023438</v>
      </c>
      <c r="CM70" s="20">
        <f t="shared" si="180"/>
        <v>12.15215625</v>
      </c>
      <c r="CN70" s="17">
        <v>102750.0</v>
      </c>
      <c r="CO70" s="19">
        <f>11624018/100</f>
        <v>116240.18</v>
      </c>
      <c r="CP70" s="17">
        <v>116226.0</v>
      </c>
      <c r="CQ70" s="17">
        <v>117238.0</v>
      </c>
      <c r="CR70" s="19">
        <f t="shared" si="181"/>
        <v>10.03417969</v>
      </c>
      <c r="CS70" s="20">
        <f t="shared" si="182"/>
        <v>11.35158008</v>
      </c>
      <c r="CT70" s="17">
        <v>126630.0</v>
      </c>
      <c r="CU70" s="17">
        <f>14332621/100</f>
        <v>143326.21</v>
      </c>
      <c r="CV70" s="17">
        <v>143253.0</v>
      </c>
      <c r="CW70" s="17">
        <v>144520.0</v>
      </c>
      <c r="CX70" s="19">
        <f t="shared" si="183"/>
        <v>9.89296875</v>
      </c>
      <c r="CY70" s="20">
        <f t="shared" si="184"/>
        <v>11.19736016</v>
      </c>
    </row>
    <row r="71">
      <c r="M71" s="17">
        <v>37552.0</v>
      </c>
      <c r="N71" s="29">
        <f>44829755/1000</f>
        <v>44829.755</v>
      </c>
      <c r="O71" s="17">
        <v>44828.0</v>
      </c>
      <c r="P71" s="17">
        <v>46005.0</v>
      </c>
      <c r="Q71" s="29">
        <f>M71/D19*0.1</f>
        <v>7.334375</v>
      </c>
      <c r="R71" s="30">
        <f>N71/D19*0.1</f>
        <v>8.755811523</v>
      </c>
      <c r="AE71" s="17">
        <v>312008.0</v>
      </c>
      <c r="AF71" s="32">
        <f>37574243/100</f>
        <v>375742.43</v>
      </c>
      <c r="AG71" s="17">
        <v>374598.0</v>
      </c>
      <c r="AH71" s="17">
        <v>376846.0</v>
      </c>
      <c r="AI71" s="32">
        <f t="shared" si="185"/>
        <v>6.09390625</v>
      </c>
      <c r="AJ71" s="30">
        <f t="shared" si="186"/>
        <v>7.338719336</v>
      </c>
      <c r="AK71" s="33">
        <f t="shared" si="187"/>
        <v>2248</v>
      </c>
      <c r="AO71" s="17" t="s">
        <v>20</v>
      </c>
      <c r="AP71" s="18" t="s">
        <v>17</v>
      </c>
      <c r="AQ71" s="18">
        <v>128.0</v>
      </c>
      <c r="AR71" s="17">
        <v>19208.0</v>
      </c>
      <c r="AS71" s="19">
        <f>2171155/100</f>
        <v>21711.55</v>
      </c>
      <c r="AT71" s="17">
        <v>21701.0</v>
      </c>
      <c r="AU71" s="17">
        <v>22441.0</v>
      </c>
      <c r="AV71" s="19">
        <f t="shared" si="169"/>
        <v>15.00625</v>
      </c>
      <c r="AW71" s="20">
        <f t="shared" si="170"/>
        <v>16.96214844</v>
      </c>
      <c r="AX71" s="17">
        <v>55148.0</v>
      </c>
      <c r="AY71" s="19">
        <f>6222730/100</f>
        <v>62227.3</v>
      </c>
      <c r="AZ71" s="17">
        <v>62215.0</v>
      </c>
      <c r="BA71" s="17">
        <v>63135.0</v>
      </c>
      <c r="BB71" s="19">
        <f t="shared" si="171"/>
        <v>10.77109375</v>
      </c>
      <c r="BC71" s="20">
        <f t="shared" si="172"/>
        <v>12.15376953</v>
      </c>
      <c r="BD71" s="17">
        <v>103068.0</v>
      </c>
      <c r="BE71" s="19">
        <f>11624668/100</f>
        <v>116246.68</v>
      </c>
      <c r="BF71" s="17">
        <v>116231.0</v>
      </c>
      <c r="BG71" s="17">
        <v>117425.0</v>
      </c>
      <c r="BH71" s="19">
        <f t="shared" si="173"/>
        <v>10.06523438</v>
      </c>
      <c r="BI71" s="20">
        <f t="shared" si="174"/>
        <v>11.35221484</v>
      </c>
      <c r="BJ71" s="17">
        <v>127028.0</v>
      </c>
      <c r="BK71" s="19">
        <f>14332965/100</f>
        <v>143329.65</v>
      </c>
      <c r="BL71" s="17">
        <v>143274.0</v>
      </c>
      <c r="BM71" s="17">
        <v>144713.0</v>
      </c>
      <c r="BN71" s="19">
        <f t="shared" si="175"/>
        <v>9.9240625</v>
      </c>
      <c r="BO71" s="20">
        <f t="shared" si="176"/>
        <v>11.19762891</v>
      </c>
      <c r="BY71" s="17" t="s">
        <v>20</v>
      </c>
      <c r="BZ71" s="18" t="s">
        <v>17</v>
      </c>
      <c r="CA71" s="18">
        <v>128.0</v>
      </c>
      <c r="CB71" s="17">
        <v>19208.0</v>
      </c>
      <c r="CC71" s="19">
        <f>2171155/100</f>
        <v>21711.55</v>
      </c>
      <c r="CD71" s="17">
        <v>21701.0</v>
      </c>
      <c r="CE71" s="17">
        <v>22441.0</v>
      </c>
      <c r="CF71" s="19">
        <f t="shared" si="177"/>
        <v>15.00625</v>
      </c>
      <c r="CG71" s="20">
        <f t="shared" si="178"/>
        <v>16.96214844</v>
      </c>
      <c r="CH71" s="17">
        <v>55148.0</v>
      </c>
      <c r="CI71" s="19">
        <f>6222730/100</f>
        <v>62227.3</v>
      </c>
      <c r="CJ71" s="17">
        <v>62215.0</v>
      </c>
      <c r="CK71" s="17">
        <v>63135.0</v>
      </c>
      <c r="CL71" s="19">
        <f t="shared" si="179"/>
        <v>10.77109375</v>
      </c>
      <c r="CM71" s="20">
        <f t="shared" si="180"/>
        <v>12.15376953</v>
      </c>
      <c r="CN71" s="17">
        <v>103068.0</v>
      </c>
      <c r="CO71" s="19">
        <f>11624668/100</f>
        <v>116246.68</v>
      </c>
      <c r="CP71" s="17">
        <v>116231.0</v>
      </c>
      <c r="CQ71" s="17">
        <v>117425.0</v>
      </c>
      <c r="CR71" s="19">
        <f t="shared" si="181"/>
        <v>10.06523438</v>
      </c>
      <c r="CS71" s="20">
        <f t="shared" si="182"/>
        <v>11.35221484</v>
      </c>
      <c r="CT71" s="17">
        <v>127028.0</v>
      </c>
      <c r="CU71" s="19">
        <f>14332965/100</f>
        <v>143329.65</v>
      </c>
      <c r="CV71" s="17">
        <v>143274.0</v>
      </c>
      <c r="CW71" s="17">
        <v>144713.0</v>
      </c>
      <c r="CX71" s="19">
        <f t="shared" si="183"/>
        <v>9.9240625</v>
      </c>
      <c r="CY71" s="20">
        <f t="shared" si="184"/>
        <v>11.19762891</v>
      </c>
    </row>
    <row r="72">
      <c r="M72" s="35"/>
      <c r="N72" s="50"/>
      <c r="O72" s="35"/>
      <c r="P72" s="35"/>
      <c r="Q72" s="50"/>
      <c r="R72" s="51"/>
      <c r="AE72" s="17">
        <v>429523.0</v>
      </c>
      <c r="AF72" s="32">
        <f>73549214/100</f>
        <v>735492.14</v>
      </c>
      <c r="AG72" s="17">
        <v>735478.0</v>
      </c>
      <c r="AH72" s="17">
        <v>736161.0</v>
      </c>
      <c r="AI72" s="32">
        <f t="shared" si="185"/>
        <v>33.55648438</v>
      </c>
      <c r="AJ72" s="30">
        <f t="shared" si="186"/>
        <v>57.46032344</v>
      </c>
      <c r="AK72" s="33">
        <f t="shared" si="187"/>
        <v>683</v>
      </c>
    </row>
    <row r="73">
      <c r="M73" s="35"/>
      <c r="N73" s="50"/>
      <c r="O73" s="35"/>
      <c r="P73" s="35"/>
      <c r="Q73" s="50"/>
      <c r="R73" s="51"/>
      <c r="AE73" s="17">
        <v>508123.0</v>
      </c>
      <c r="AF73" s="37">
        <f>87879586/100</f>
        <v>878795.86</v>
      </c>
      <c r="AG73" s="17">
        <v>878782.0</v>
      </c>
      <c r="AH73" s="17">
        <v>879505.0</v>
      </c>
      <c r="AI73" s="32">
        <f t="shared" si="185"/>
        <v>39.69710938</v>
      </c>
      <c r="AJ73" s="30">
        <f t="shared" si="186"/>
        <v>68.65592656</v>
      </c>
      <c r="AK73" s="33">
        <f t="shared" si="187"/>
        <v>723</v>
      </c>
      <c r="AO73" s="17" t="s">
        <v>16</v>
      </c>
      <c r="AP73" s="18" t="s">
        <v>17</v>
      </c>
      <c r="AQ73" s="18">
        <v>64.0</v>
      </c>
      <c r="AR73" s="4"/>
      <c r="AS73" s="4"/>
      <c r="AT73" s="38">
        <f t="shared" ref="AT73:AW73" si="188">1-AT62/AT68</f>
        <v>0.2002073711</v>
      </c>
      <c r="AU73" s="38">
        <f t="shared" si="188"/>
        <v>0.2021867718</v>
      </c>
      <c r="AV73" s="39">
        <f t="shared" si="188"/>
        <v>0.4339502572</v>
      </c>
      <c r="AW73" s="39">
        <f t="shared" si="188"/>
        <v>0.2002334774</v>
      </c>
      <c r="AX73" s="4"/>
      <c r="AY73" s="4"/>
      <c r="AZ73" s="38">
        <f t="shared" ref="AZ73:BC73" si="189">1-AZ62/AZ68</f>
        <v>0.1995289171</v>
      </c>
      <c r="BA73" s="38">
        <f t="shared" si="189"/>
        <v>0.2005202894</v>
      </c>
      <c r="BB73" s="39">
        <f t="shared" si="189"/>
        <v>0.4342965896</v>
      </c>
      <c r="BC73" s="39">
        <f t="shared" si="189"/>
        <v>0.1995390546</v>
      </c>
      <c r="BD73" s="4"/>
      <c r="BE73" s="4"/>
      <c r="BF73" s="38">
        <f t="shared" ref="BF73:BI73" si="190">1-BF62/BF68</f>
        <v>0.1992989812</v>
      </c>
      <c r="BG73" s="38">
        <f t="shared" si="190"/>
        <v>0.1986914342</v>
      </c>
      <c r="BH73" s="39">
        <f t="shared" si="190"/>
        <v>0.4344460393</v>
      </c>
      <c r="BI73" s="39">
        <f t="shared" si="190"/>
        <v>0.1992932236</v>
      </c>
      <c r="BJ73" s="4"/>
      <c r="BK73" s="4"/>
      <c r="BL73" s="38">
        <f t="shared" ref="BL73:BO73" si="191">1-BL62/BL68</f>
        <v>0.1993965818</v>
      </c>
      <c r="BM73" s="38">
        <f t="shared" si="191"/>
        <v>0.1990645958</v>
      </c>
      <c r="BN73" s="39">
        <f t="shared" si="191"/>
        <v>0.4344803999</v>
      </c>
      <c r="BO73" s="39">
        <f t="shared" si="191"/>
        <v>0.1995503341</v>
      </c>
      <c r="BY73" s="17" t="s">
        <v>16</v>
      </c>
      <c r="BZ73" s="18" t="s">
        <v>17</v>
      </c>
      <c r="CA73" s="18">
        <v>64.0</v>
      </c>
      <c r="CB73" s="4"/>
      <c r="CC73" s="4"/>
      <c r="CD73" s="38">
        <f t="shared" ref="CD73:CG73" si="192">1-CD62/CD68</f>
        <v>0.1627391837</v>
      </c>
      <c r="CE73" s="38">
        <f t="shared" si="192"/>
        <v>0.1626187489</v>
      </c>
      <c r="CF73" s="39">
        <f t="shared" si="192"/>
        <v>0.2294638596</v>
      </c>
      <c r="CG73" s="39">
        <f t="shared" si="192"/>
        <v>0.1627179256</v>
      </c>
      <c r="CH73" s="4"/>
      <c r="CI73" s="4"/>
      <c r="CJ73" s="38">
        <f t="shared" ref="CJ73:CM73" si="193">1-CJ62/CJ68</f>
        <v>0.1606548442</v>
      </c>
      <c r="CK73" s="38">
        <f t="shared" si="193"/>
        <v>0.159485787</v>
      </c>
      <c r="CL73" s="39">
        <f t="shared" si="193"/>
        <v>0.229190821</v>
      </c>
      <c r="CM73" s="39">
        <f t="shared" si="193"/>
        <v>0.1606414395</v>
      </c>
      <c r="CN73" s="4"/>
      <c r="CO73" s="4"/>
      <c r="CP73" s="38">
        <f t="shared" ref="CP73:CS73" si="194">1-CP62/CP68</f>
        <v>0.1601642262</v>
      </c>
      <c r="CQ73" s="38">
        <f t="shared" si="194"/>
        <v>0.1588543066</v>
      </c>
      <c r="CR73" s="39">
        <f t="shared" si="194"/>
        <v>0.229129096</v>
      </c>
      <c r="CS73" s="39">
        <f t="shared" si="194"/>
        <v>0.1601386479</v>
      </c>
      <c r="CT73" s="4"/>
      <c r="CU73" s="4"/>
      <c r="CV73" s="38">
        <f t="shared" ref="CV73:CY73" si="195">1-CV62/CV68</f>
        <v>0.1600222029</v>
      </c>
      <c r="CW73" s="38">
        <f t="shared" si="195"/>
        <v>0.1593893399</v>
      </c>
      <c r="CX73" s="39">
        <f t="shared" si="195"/>
        <v>0.2291149045</v>
      </c>
      <c r="CY73" s="39">
        <f t="shared" si="195"/>
        <v>0.1599713598</v>
      </c>
    </row>
    <row r="74">
      <c r="M74" s="35"/>
      <c r="N74" s="50"/>
      <c r="O74" s="35"/>
      <c r="P74" s="35"/>
      <c r="Q74" s="50"/>
      <c r="R74" s="51"/>
      <c r="AE74" s="17">
        <v>586423.0</v>
      </c>
      <c r="AF74" s="32">
        <f>101464018/100</f>
        <v>1014640.18</v>
      </c>
      <c r="AG74" s="17">
        <v>1014629.0</v>
      </c>
      <c r="AH74" s="17">
        <v>1015147.0</v>
      </c>
      <c r="AI74" s="32">
        <f t="shared" si="185"/>
        <v>45.81429688</v>
      </c>
      <c r="AJ74" s="30">
        <f t="shared" si="186"/>
        <v>79.26876406</v>
      </c>
      <c r="AK74" s="33">
        <f t="shared" si="187"/>
        <v>518</v>
      </c>
      <c r="AO74" s="17" t="s">
        <v>18</v>
      </c>
      <c r="AP74" s="18" t="s">
        <v>17</v>
      </c>
      <c r="AQ74" s="18">
        <v>64.0</v>
      </c>
      <c r="AR74" s="4"/>
      <c r="AS74" s="4"/>
      <c r="AT74" s="38">
        <f t="shared" ref="AT74:AW74" si="196">1-AT63/AT69</f>
        <v>0.2004990114</v>
      </c>
      <c r="AU74" s="38">
        <f t="shared" si="196"/>
        <v>0.2021445053</v>
      </c>
      <c r="AV74" s="39">
        <f t="shared" si="196"/>
        <v>0.4334904911</v>
      </c>
      <c r="AW74" s="39">
        <f t="shared" si="196"/>
        <v>0.2006056018</v>
      </c>
      <c r="AX74" s="4"/>
      <c r="AY74" s="4"/>
      <c r="AZ74" s="38">
        <f t="shared" ref="AZ74:BC74" si="197">1-AZ63/AZ69</f>
        <v>0.199502023</v>
      </c>
      <c r="BA74" s="38">
        <f t="shared" si="197"/>
        <v>0.2013888889</v>
      </c>
      <c r="BB74" s="39">
        <f t="shared" si="197"/>
        <v>0.433537877</v>
      </c>
      <c r="BC74" s="39">
        <f t="shared" si="197"/>
        <v>0.1995388563</v>
      </c>
      <c r="BD74" s="4"/>
      <c r="BE74" s="4"/>
      <c r="BF74" s="38">
        <f t="shared" ref="BF74:BI74" si="198">1-BF63/BF69</f>
        <v>0.199425877</v>
      </c>
      <c r="BG74" s="38">
        <f t="shared" si="198"/>
        <v>0.2001247419</v>
      </c>
      <c r="BH74" s="39">
        <f t="shared" si="198"/>
        <v>0.4335949457</v>
      </c>
      <c r="BI74" s="39">
        <f t="shared" si="198"/>
        <v>0.1994479075</v>
      </c>
      <c r="BJ74" s="4"/>
      <c r="BK74" s="4"/>
      <c r="BL74" s="38">
        <f t="shared" ref="BL74:BO74" si="199">1-BL63/BL69</f>
        <v>0.1994200252</v>
      </c>
      <c r="BM74" s="38">
        <f t="shared" si="199"/>
        <v>0.1990828687</v>
      </c>
      <c r="BN74" s="39">
        <f t="shared" si="199"/>
        <v>0.4336080632</v>
      </c>
      <c r="BO74" s="39">
        <f t="shared" si="199"/>
        <v>0.1995767837</v>
      </c>
      <c r="BY74" s="17" t="s">
        <v>18</v>
      </c>
      <c r="BZ74" s="18" t="s">
        <v>17</v>
      </c>
      <c r="CA74" s="18">
        <v>64.0</v>
      </c>
      <c r="CB74" s="4"/>
      <c r="CC74" s="4"/>
      <c r="CD74" s="38">
        <f t="shared" ref="CD74:CG74" si="200">1-CD63/CD69</f>
        <v>0.1627906977</v>
      </c>
      <c r="CE74" s="38">
        <f t="shared" si="200"/>
        <v>0.1645025562</v>
      </c>
      <c r="CF74" s="39">
        <f t="shared" si="200"/>
        <v>0.2292207448</v>
      </c>
      <c r="CG74" s="39">
        <f t="shared" si="200"/>
        <v>0.1629126286</v>
      </c>
      <c r="CH74" s="4"/>
      <c r="CI74" s="4"/>
      <c r="CJ74" s="38">
        <f t="shared" ref="CJ74:CM74" si="201">1-CJ63/CJ69</f>
        <v>0.1608115468</v>
      </c>
      <c r="CK74" s="38">
        <f t="shared" si="201"/>
        <v>0.1623668189</v>
      </c>
      <c r="CL74" s="39">
        <f t="shared" si="201"/>
        <v>0.2287904265</v>
      </c>
      <c r="CM74" s="39">
        <f t="shared" si="201"/>
        <v>0.1608447132</v>
      </c>
      <c r="CN74" s="4"/>
      <c r="CO74" s="4"/>
      <c r="CP74" s="38">
        <f t="shared" ref="CP74:CS74" si="202">1-CP63/CP69</f>
        <v>0.1601977777</v>
      </c>
      <c r="CQ74" s="38">
        <f t="shared" si="202"/>
        <v>0.1610461115</v>
      </c>
      <c r="CR74" s="39">
        <f t="shared" si="202"/>
        <v>0.2286802248</v>
      </c>
      <c r="CS74" s="39">
        <f t="shared" si="202"/>
        <v>0.1602261144</v>
      </c>
      <c r="CT74" s="4"/>
      <c r="CU74" s="4"/>
      <c r="CV74" s="38">
        <f t="shared" ref="CV74:CY74" si="203">1-CV63/CV69</f>
        <v>0.1600479732</v>
      </c>
      <c r="CW74" s="38">
        <f t="shared" si="203"/>
        <v>0.1596939362</v>
      </c>
      <c r="CX74" s="39">
        <f t="shared" si="203"/>
        <v>0.2286548944</v>
      </c>
      <c r="CY74" s="39">
        <f t="shared" si="203"/>
        <v>0.1600139641</v>
      </c>
    </row>
    <row r="75">
      <c r="M75" s="35"/>
      <c r="N75" s="50"/>
      <c r="O75" s="35"/>
      <c r="P75" s="35"/>
      <c r="Q75" s="50"/>
      <c r="R75" s="51"/>
      <c r="AE75" s="17">
        <v>651325.0</v>
      </c>
      <c r="AF75" s="37">
        <f>83107630/100</f>
        <v>831076.3</v>
      </c>
      <c r="AG75" s="17">
        <v>831068.0</v>
      </c>
      <c r="AH75" s="17">
        <v>831655.0</v>
      </c>
      <c r="AI75" s="32">
        <f t="shared" si="185"/>
        <v>50.88476563</v>
      </c>
      <c r="AJ75" s="30">
        <f t="shared" si="186"/>
        <v>64.92783594</v>
      </c>
      <c r="AK75" s="33">
        <f t="shared" si="187"/>
        <v>587</v>
      </c>
      <c r="AO75" s="17" t="s">
        <v>19</v>
      </c>
      <c r="AP75" s="18" t="s">
        <v>17</v>
      </c>
      <c r="AQ75" s="18">
        <v>128.0</v>
      </c>
      <c r="AR75" s="4"/>
      <c r="AS75" s="4"/>
      <c r="AT75" s="38">
        <f t="shared" ref="AT75:AW75" si="204">1-AT64/AT70</f>
        <v>0.1986999216</v>
      </c>
      <c r="AU75" s="38">
        <f t="shared" si="204"/>
        <v>0.198196187</v>
      </c>
      <c r="AV75" s="39">
        <f t="shared" si="204"/>
        <v>0.4352112676</v>
      </c>
      <c r="AW75" s="39">
        <f t="shared" si="204"/>
        <v>0.1984600986</v>
      </c>
      <c r="AX75" s="4"/>
      <c r="AY75" s="4"/>
      <c r="AZ75" s="38">
        <f t="shared" ref="AZ75:BC75" si="205">1-AZ64/AZ70</f>
        <v>0.198707541</v>
      </c>
      <c r="BA75" s="38">
        <f t="shared" si="205"/>
        <v>0.1973077106</v>
      </c>
      <c r="BB75" s="39">
        <f t="shared" si="205"/>
        <v>0.4359519913</v>
      </c>
      <c r="BC75" s="39">
        <f t="shared" si="205"/>
        <v>0.1986681247</v>
      </c>
      <c r="BD75" s="4"/>
      <c r="BE75" s="4"/>
      <c r="BF75" s="38">
        <f t="shared" ref="BF75:BI75" si="206">1-BF64/BF70</f>
        <v>0.1987076902</v>
      </c>
      <c r="BG75" s="38">
        <f t="shared" si="206"/>
        <v>0.1974530442</v>
      </c>
      <c r="BH75" s="39">
        <f t="shared" si="206"/>
        <v>0.436136253</v>
      </c>
      <c r="BI75" s="39">
        <f t="shared" si="206"/>
        <v>0.1986869773</v>
      </c>
      <c r="BJ75" s="4"/>
      <c r="BK75" s="4"/>
      <c r="BL75" s="38">
        <f t="shared" ref="BL75:BO75" si="207">1-BL64/BL70</f>
        <v>0.1988509839</v>
      </c>
      <c r="BM75" s="38">
        <f t="shared" si="207"/>
        <v>0.1977650152</v>
      </c>
      <c r="BN75" s="39">
        <f t="shared" si="207"/>
        <v>0.4361762615</v>
      </c>
      <c r="BO75" s="39">
        <f t="shared" si="207"/>
        <v>0.1991067091</v>
      </c>
      <c r="BY75" s="17" t="s">
        <v>19</v>
      </c>
      <c r="BZ75" s="18" t="s">
        <v>17</v>
      </c>
      <c r="CA75" s="18">
        <v>128.0</v>
      </c>
      <c r="CB75" s="4"/>
      <c r="CC75" s="4"/>
      <c r="CD75" s="38">
        <f t="shared" ref="CD75:CG75" si="208">1-CD64/CD70</f>
        <v>0.1655986354</v>
      </c>
      <c r="CE75" s="38">
        <f t="shared" si="208"/>
        <v>0.1646649105</v>
      </c>
      <c r="CF75" s="39">
        <f t="shared" si="208"/>
        <v>0.2317683881</v>
      </c>
      <c r="CG75" s="39">
        <f t="shared" si="208"/>
        <v>0.1654635947</v>
      </c>
      <c r="CH75" s="4"/>
      <c r="CI75" s="4"/>
      <c r="CJ75" s="38">
        <f t="shared" ref="CJ75:CM75" si="209">1-CJ64/CJ70</f>
        <v>0.1650457344</v>
      </c>
      <c r="CK75" s="38">
        <f t="shared" si="209"/>
        <v>0.1648511947</v>
      </c>
      <c r="CL75" s="39">
        <f t="shared" si="209"/>
        <v>0.2319148936</v>
      </c>
      <c r="CM75" s="39">
        <f t="shared" si="209"/>
        <v>0.1650253684</v>
      </c>
      <c r="CN75" s="4"/>
      <c r="CO75" s="4"/>
      <c r="CP75" s="38">
        <f t="shared" ref="CP75:CS75" si="210">1-CP64/CP70</f>
        <v>0.1649028617</v>
      </c>
      <c r="CQ75" s="38">
        <f t="shared" si="210"/>
        <v>0.1640594347</v>
      </c>
      <c r="CR75" s="39">
        <f t="shared" si="210"/>
        <v>0.2319513382</v>
      </c>
      <c r="CS75" s="39">
        <f t="shared" si="210"/>
        <v>0.1649715271</v>
      </c>
      <c r="CT75" s="4"/>
      <c r="CU75" s="4"/>
      <c r="CV75" s="38">
        <f t="shared" ref="CV75:CY75" si="211">1-CV64/CV70</f>
        <v>0.1647923604</v>
      </c>
      <c r="CW75" s="38">
        <f t="shared" si="211"/>
        <v>0.1639219485</v>
      </c>
      <c r="CX75" s="39">
        <f t="shared" si="211"/>
        <v>0.2319592514</v>
      </c>
      <c r="CY75" s="39">
        <f t="shared" si="211"/>
        <v>0.1647909339</v>
      </c>
    </row>
    <row r="76">
      <c r="M76" s="35"/>
      <c r="N76" s="50"/>
      <c r="O76" s="35"/>
      <c r="P76" s="35"/>
      <c r="Q76" s="50"/>
      <c r="R76" s="51"/>
      <c r="AE76" s="17">
        <v>779125.0</v>
      </c>
      <c r="AF76" s="32">
        <f>99661022/100</f>
        <v>996610.22</v>
      </c>
      <c r="AG76" s="17">
        <v>996603.0</v>
      </c>
      <c r="AH76" s="17">
        <v>997118.0</v>
      </c>
      <c r="AI76" s="32">
        <f t="shared" si="185"/>
        <v>60.86914063</v>
      </c>
      <c r="AJ76" s="30">
        <f t="shared" si="186"/>
        <v>77.86017344</v>
      </c>
      <c r="AK76" s="33">
        <f t="shared" si="187"/>
        <v>515</v>
      </c>
      <c r="AO76" s="17" t="s">
        <v>20</v>
      </c>
      <c r="AP76" s="18" t="s">
        <v>17</v>
      </c>
      <c r="AQ76" s="18">
        <v>128.0</v>
      </c>
      <c r="AR76" s="4"/>
      <c r="AS76" s="4"/>
      <c r="AT76" s="38">
        <f t="shared" ref="AT76:AW76" si="212">1-AT65/AT71</f>
        <v>0.1987926824</v>
      </c>
      <c r="AU76" s="38">
        <f t="shared" si="212"/>
        <v>0.1978967069</v>
      </c>
      <c r="AV76" s="39">
        <f t="shared" si="212"/>
        <v>0.4343502707</v>
      </c>
      <c r="AW76" s="39">
        <f t="shared" si="212"/>
        <v>0.1985556075</v>
      </c>
      <c r="AX76" s="4"/>
      <c r="AY76" s="4"/>
      <c r="AZ76" s="38">
        <f t="shared" ref="AZ76:BC76" si="213">1-AZ65/AZ71</f>
        <v>0.1988748694</v>
      </c>
      <c r="BA76" s="38">
        <f t="shared" si="213"/>
        <v>0.1978458858</v>
      </c>
      <c r="BB76" s="39">
        <f t="shared" si="213"/>
        <v>0.4347029811</v>
      </c>
      <c r="BC76" s="39">
        <f t="shared" si="213"/>
        <v>0.198869628</v>
      </c>
      <c r="BD76" s="4"/>
      <c r="BE76" s="4"/>
      <c r="BF76" s="38">
        <f t="shared" ref="BF76:BI76" si="214">1-BF65/BF71</f>
        <v>0.1988367991</v>
      </c>
      <c r="BG76" s="38">
        <f t="shared" si="214"/>
        <v>0.1980753673</v>
      </c>
      <c r="BH76" s="39">
        <f t="shared" si="214"/>
        <v>0.4347906237</v>
      </c>
      <c r="BI76" s="39">
        <f t="shared" si="214"/>
        <v>0.1988293343</v>
      </c>
      <c r="BJ76" s="4"/>
      <c r="BK76" s="4"/>
      <c r="BL76" s="38">
        <f t="shared" ref="BL76:BO76" si="215">1-BL65/BL71</f>
        <v>0.1989684102</v>
      </c>
      <c r="BM76" s="38">
        <f t="shared" si="215"/>
        <v>0.1981853738</v>
      </c>
      <c r="BN76" s="39">
        <f t="shared" si="215"/>
        <v>0.4348096483</v>
      </c>
      <c r="BO76" s="39">
        <f t="shared" si="215"/>
        <v>0.1991476293</v>
      </c>
      <c r="BY76" s="17" t="s">
        <v>20</v>
      </c>
      <c r="BZ76" s="18" t="s">
        <v>17</v>
      </c>
      <c r="CA76" s="18">
        <v>128.0</v>
      </c>
      <c r="CB76" s="4"/>
      <c r="CC76" s="4"/>
      <c r="CD76" s="38">
        <f t="shared" ref="CD76:CG76" si="216">1-CD65/CD71</f>
        <v>0.1659831344</v>
      </c>
      <c r="CE76" s="38">
        <f t="shared" si="216"/>
        <v>0.1647876654</v>
      </c>
      <c r="CF76" s="39">
        <f t="shared" si="216"/>
        <v>0.2313098709</v>
      </c>
      <c r="CG76" s="39">
        <f t="shared" si="216"/>
        <v>0.1659697258</v>
      </c>
      <c r="CH76" s="4"/>
      <c r="CI76" s="4"/>
      <c r="CJ76" s="38">
        <f t="shared" ref="CJ76:CM76" si="217">1-CJ65/CJ71</f>
        <v>0.1652173913</v>
      </c>
      <c r="CK76" s="38">
        <f t="shared" si="217"/>
        <v>0.1643779203</v>
      </c>
      <c r="CL76" s="39">
        <f t="shared" si="217"/>
        <v>0.2312504533</v>
      </c>
      <c r="CM76" s="39">
        <f t="shared" si="217"/>
        <v>0.1652080357</v>
      </c>
      <c r="CN76" s="4"/>
      <c r="CO76" s="4"/>
      <c r="CP76" s="38">
        <f t="shared" ref="CP76:CS76" si="218">1-CP65/CP71</f>
        <v>0.1650076141</v>
      </c>
      <c r="CQ76" s="38">
        <f t="shared" si="218"/>
        <v>0.1648371301</v>
      </c>
      <c r="CR76" s="39">
        <f t="shared" si="218"/>
        <v>0.2312356891</v>
      </c>
      <c r="CS76" s="39">
        <f t="shared" si="218"/>
        <v>0.1650024758</v>
      </c>
      <c r="CT76" s="4"/>
      <c r="CU76" s="4"/>
      <c r="CV76" s="38">
        <f t="shared" ref="CV76:CY76" si="219">1-CV65/CV71</f>
        <v>0.1648868601</v>
      </c>
      <c r="CW76" s="38">
        <f t="shared" si="219"/>
        <v>0.1641801359</v>
      </c>
      <c r="CX76" s="39">
        <f t="shared" si="219"/>
        <v>0.2312324842</v>
      </c>
      <c r="CY76" s="39">
        <f t="shared" si="219"/>
        <v>0.1648504688</v>
      </c>
    </row>
    <row r="77">
      <c r="M77" s="35"/>
      <c r="N77" s="50"/>
      <c r="O77" s="35"/>
      <c r="P77" s="35"/>
      <c r="Q77" s="50"/>
      <c r="R77" s="51"/>
      <c r="AE77" s="17">
        <v>906625.0</v>
      </c>
      <c r="AF77" s="32">
        <f>115285115/100</f>
        <v>1152851.15</v>
      </c>
      <c r="AG77" s="17">
        <v>1152844.0</v>
      </c>
      <c r="AH77" s="17">
        <v>1153295.0</v>
      </c>
      <c r="AI77" s="32">
        <f t="shared" si="185"/>
        <v>70.83007813</v>
      </c>
      <c r="AJ77" s="30">
        <f t="shared" si="186"/>
        <v>90.06649609</v>
      </c>
      <c r="AK77" s="33">
        <f t="shared" si="187"/>
        <v>451</v>
      </c>
    </row>
    <row r="78">
      <c r="M78" s="35"/>
      <c r="N78" s="50"/>
      <c r="O78" s="35"/>
      <c r="P78" s="35"/>
      <c r="Q78" s="50"/>
      <c r="R78" s="51"/>
      <c r="AE78" s="17">
        <v>431285.0</v>
      </c>
      <c r="AF78" s="32">
        <f>73904937/100</f>
        <v>739049.37</v>
      </c>
      <c r="AG78" s="17">
        <v>739020.0</v>
      </c>
      <c r="AH78" s="17">
        <v>740802.0</v>
      </c>
      <c r="AI78" s="32">
        <f t="shared" si="185"/>
        <v>33.69414063</v>
      </c>
      <c r="AJ78" s="30">
        <f t="shared" si="186"/>
        <v>57.73823203</v>
      </c>
      <c r="AK78" s="33">
        <f t="shared" si="187"/>
        <v>1782</v>
      </c>
    </row>
    <row r="79">
      <c r="M79" s="35"/>
      <c r="N79" s="50"/>
      <c r="O79" s="35"/>
      <c r="P79" s="35"/>
      <c r="Q79" s="50"/>
      <c r="R79" s="51"/>
      <c r="AE79" s="17">
        <v>509885.0</v>
      </c>
      <c r="AF79" s="32">
        <f>88233882/100</f>
        <v>882338.82</v>
      </c>
      <c r="AG79" s="17">
        <v>882319.0</v>
      </c>
      <c r="AH79" s="17">
        <v>883271.0</v>
      </c>
      <c r="AI79" s="32">
        <f t="shared" si="185"/>
        <v>39.83476563</v>
      </c>
      <c r="AJ79" s="30">
        <f t="shared" si="186"/>
        <v>68.93272031</v>
      </c>
      <c r="AK79" s="33">
        <f t="shared" si="187"/>
        <v>952</v>
      </c>
    </row>
    <row r="80">
      <c r="M80" s="35"/>
      <c r="N80" s="50"/>
      <c r="O80" s="35"/>
      <c r="P80" s="35"/>
      <c r="Q80" s="50"/>
      <c r="R80" s="51"/>
      <c r="AE80" s="17">
        <v>588185.0</v>
      </c>
      <c r="AF80" s="32">
        <f>101803112/100</f>
        <v>1018031.12</v>
      </c>
      <c r="AG80" s="17">
        <v>1018013.0</v>
      </c>
      <c r="AH80" s="17">
        <v>1018840.0</v>
      </c>
      <c r="AI80" s="32">
        <f t="shared" si="185"/>
        <v>45.95195313</v>
      </c>
      <c r="AJ80" s="30">
        <f t="shared" si="186"/>
        <v>79.53368125</v>
      </c>
      <c r="AK80" s="33">
        <f t="shared" si="187"/>
        <v>827</v>
      </c>
    </row>
    <row r="81">
      <c r="M81" s="35"/>
      <c r="N81" s="50"/>
      <c r="O81" s="35"/>
      <c r="P81" s="35"/>
      <c r="Q81" s="50"/>
      <c r="R81" s="51"/>
      <c r="AE81" s="17">
        <v>653137.0</v>
      </c>
      <c r="AF81" s="32">
        <f>83441541/100</f>
        <v>834415.41</v>
      </c>
      <c r="AG81" s="17">
        <v>834403.0</v>
      </c>
      <c r="AH81" s="17">
        <v>835269.0</v>
      </c>
      <c r="AI81" s="32">
        <f t="shared" si="185"/>
        <v>51.02632813</v>
      </c>
      <c r="AJ81" s="30">
        <f t="shared" si="186"/>
        <v>65.18870391</v>
      </c>
      <c r="AK81" s="33">
        <f t="shared" si="187"/>
        <v>866</v>
      </c>
    </row>
    <row r="82">
      <c r="M82" s="35"/>
      <c r="N82" s="50"/>
      <c r="O82" s="35"/>
      <c r="P82" s="35"/>
      <c r="Q82" s="50"/>
      <c r="R82" s="51"/>
      <c r="AE82" s="17">
        <v>780937.0</v>
      </c>
      <c r="AF82" s="32">
        <f>99949737/100</f>
        <v>999497.37</v>
      </c>
      <c r="AG82" s="17">
        <v>999482.0</v>
      </c>
      <c r="AH82" s="17">
        <v>1000570.0</v>
      </c>
      <c r="AI82" s="32">
        <f t="shared" si="185"/>
        <v>61.01070313</v>
      </c>
      <c r="AJ82" s="30">
        <f t="shared" si="186"/>
        <v>78.08573203</v>
      </c>
      <c r="AK82" s="33">
        <f t="shared" si="187"/>
        <v>1088</v>
      </c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</row>
    <row r="83">
      <c r="M83" s="35"/>
      <c r="N83" s="50"/>
      <c r="O83" s="35"/>
      <c r="P83" s="35"/>
      <c r="Q83" s="50"/>
      <c r="R83" s="51"/>
      <c r="AE83" s="17">
        <v>908437.0</v>
      </c>
      <c r="AF83" s="32">
        <f>115612544/100</f>
        <v>1156125.44</v>
      </c>
      <c r="AG83" s="17">
        <v>1156117.0</v>
      </c>
      <c r="AH83" s="17">
        <v>1156632.0</v>
      </c>
      <c r="AI83" s="32">
        <f t="shared" si="185"/>
        <v>70.97164063</v>
      </c>
      <c r="AJ83" s="30">
        <f t="shared" si="186"/>
        <v>90.3223</v>
      </c>
      <c r="AK83" s="33">
        <f t="shared" si="187"/>
        <v>515</v>
      </c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</row>
    <row r="84">
      <c r="M84" s="35"/>
      <c r="N84" s="50"/>
      <c r="O84" s="35"/>
      <c r="P84" s="35"/>
      <c r="Q84" s="50"/>
      <c r="R84" s="51"/>
      <c r="AE84" s="17">
        <v>431936.0</v>
      </c>
      <c r="AF84" s="32">
        <f>74195111/100</f>
        <v>741951.11</v>
      </c>
      <c r="AG84" s="17">
        <v>741940.0</v>
      </c>
      <c r="AH84" s="17">
        <v>742643.0</v>
      </c>
      <c r="AI84" s="32">
        <f t="shared" si="185"/>
        <v>33.745</v>
      </c>
      <c r="AJ84" s="30">
        <f t="shared" si="186"/>
        <v>57.96493047</v>
      </c>
      <c r="AK84" s="33">
        <f t="shared" si="187"/>
        <v>703</v>
      </c>
      <c r="AO84" s="53"/>
      <c r="AP84" s="53"/>
      <c r="AQ84" s="53"/>
      <c r="AR84" s="54" t="s">
        <v>0</v>
      </c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7"/>
    </row>
    <row r="85">
      <c r="M85" s="35"/>
      <c r="N85" s="50"/>
      <c r="O85" s="35"/>
      <c r="P85" s="35"/>
      <c r="Q85" s="50"/>
      <c r="R85" s="51"/>
      <c r="AE85" s="17">
        <v>510536.0</v>
      </c>
      <c r="AF85" s="32">
        <f>88547904/100</f>
        <v>885479.04</v>
      </c>
      <c r="AG85" s="17">
        <v>885470.0</v>
      </c>
      <c r="AH85" s="17">
        <v>885969.0</v>
      </c>
      <c r="AI85" s="32">
        <f t="shared" si="185"/>
        <v>39.885625</v>
      </c>
      <c r="AJ85" s="30">
        <f t="shared" si="186"/>
        <v>69.17805</v>
      </c>
      <c r="AK85" s="33">
        <f t="shared" si="187"/>
        <v>499</v>
      </c>
      <c r="AO85" s="53"/>
      <c r="AP85" s="53"/>
      <c r="AQ85" s="53"/>
      <c r="AR85" s="9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1"/>
    </row>
    <row r="86">
      <c r="M86" s="35"/>
      <c r="N86" s="50"/>
      <c r="O86" s="35"/>
      <c r="P86" s="35"/>
      <c r="Q86" s="50"/>
      <c r="R86" s="51"/>
      <c r="AE86" s="17">
        <v>588836.0</v>
      </c>
      <c r="AF86" s="32">
        <f>102140854/100</f>
        <v>1021408.54</v>
      </c>
      <c r="AG86" s="17">
        <v>1021400.0</v>
      </c>
      <c r="AH86" s="17">
        <v>1021831.0</v>
      </c>
      <c r="AI86" s="32">
        <f t="shared" si="185"/>
        <v>46.0028125</v>
      </c>
      <c r="AJ86" s="30">
        <f t="shared" si="186"/>
        <v>79.79754219</v>
      </c>
      <c r="AK86" s="33">
        <f t="shared" si="187"/>
        <v>431</v>
      </c>
      <c r="AO86" s="53"/>
      <c r="AP86" s="53"/>
      <c r="AQ86" s="53"/>
      <c r="AR86" s="55" t="s">
        <v>70</v>
      </c>
      <c r="AS86" s="13"/>
      <c r="AT86" s="13"/>
      <c r="AU86" s="13"/>
      <c r="AV86" s="13"/>
      <c r="AW86" s="14"/>
      <c r="AX86" s="55" t="s">
        <v>71</v>
      </c>
      <c r="AY86" s="13"/>
      <c r="AZ86" s="13"/>
      <c r="BA86" s="13"/>
      <c r="BB86" s="13"/>
      <c r="BC86" s="14"/>
      <c r="BD86" s="55" t="s">
        <v>72</v>
      </c>
      <c r="BE86" s="13"/>
      <c r="BF86" s="13"/>
      <c r="BG86" s="13"/>
      <c r="BH86" s="13"/>
      <c r="BI86" s="14"/>
      <c r="BJ86" s="55" t="s">
        <v>73</v>
      </c>
      <c r="BK86" s="13"/>
      <c r="BL86" s="13"/>
      <c r="BM86" s="13"/>
      <c r="BN86" s="13"/>
      <c r="BO86" s="14"/>
    </row>
    <row r="87">
      <c r="M87" s="17">
        <v>155532.0</v>
      </c>
      <c r="N87" s="32">
        <f>212264914/1000</f>
        <v>212264.914</v>
      </c>
      <c r="O87" s="17">
        <v>212225.0</v>
      </c>
      <c r="P87" s="17">
        <v>213335.0</v>
      </c>
      <c r="Q87" s="29">
        <f t="shared" ref="Q87:Q93" si="220">M87/D35*0.1</f>
        <v>121.509375</v>
      </c>
      <c r="R87" s="30">
        <f t="shared" ref="R87:R93" si="221">N87/D35*0.1</f>
        <v>165.8319641</v>
      </c>
      <c r="AE87" s="17">
        <v>843408.0</v>
      </c>
      <c r="AF87" s="32">
        <f>123755678/100</f>
        <v>1237556.78</v>
      </c>
      <c r="AG87" s="17">
        <v>1237508.0</v>
      </c>
      <c r="AH87" s="17">
        <v>1238582.0</v>
      </c>
      <c r="AI87" s="32">
        <f t="shared" si="185"/>
        <v>65.89125</v>
      </c>
      <c r="AJ87" s="30">
        <f t="shared" si="186"/>
        <v>96.68412344</v>
      </c>
      <c r="AK87" s="33">
        <f t="shared" si="187"/>
        <v>1074</v>
      </c>
      <c r="AO87" s="53"/>
      <c r="AP87" s="53"/>
      <c r="AQ87" s="53"/>
      <c r="AR87" s="56" t="s">
        <v>10</v>
      </c>
      <c r="AS87" s="56" t="s">
        <v>11</v>
      </c>
      <c r="AT87" s="56" t="s">
        <v>12</v>
      </c>
      <c r="AU87" s="56" t="s">
        <v>13</v>
      </c>
      <c r="AV87" s="56" t="s">
        <v>14</v>
      </c>
      <c r="AW87" s="57" t="s">
        <v>15</v>
      </c>
      <c r="AX87" s="56" t="s">
        <v>10</v>
      </c>
      <c r="AY87" s="56" t="s">
        <v>11</v>
      </c>
      <c r="AZ87" s="56" t="s">
        <v>12</v>
      </c>
      <c r="BA87" s="56" t="s">
        <v>13</v>
      </c>
      <c r="BB87" s="56" t="s">
        <v>14</v>
      </c>
      <c r="BC87" s="57" t="s">
        <v>15</v>
      </c>
      <c r="BD87" s="56" t="s">
        <v>10</v>
      </c>
      <c r="BE87" s="56" t="s">
        <v>11</v>
      </c>
      <c r="BF87" s="56" t="s">
        <v>12</v>
      </c>
      <c r="BG87" s="56" t="s">
        <v>13</v>
      </c>
      <c r="BH87" s="56" t="s">
        <v>14</v>
      </c>
      <c r="BI87" s="57" t="s">
        <v>15</v>
      </c>
      <c r="BJ87" s="56" t="s">
        <v>10</v>
      </c>
      <c r="BK87" s="56" t="s">
        <v>11</v>
      </c>
      <c r="BL87" s="56" t="s">
        <v>12</v>
      </c>
      <c r="BM87" s="56" t="s">
        <v>13</v>
      </c>
      <c r="BN87" s="56" t="s">
        <v>14</v>
      </c>
      <c r="BO87" s="57" t="s">
        <v>15</v>
      </c>
    </row>
    <row r="88">
      <c r="M88" s="17">
        <v>160104.0</v>
      </c>
      <c r="N88" s="29">
        <f>224944246/1000</f>
        <v>224944.246</v>
      </c>
      <c r="O88" s="17">
        <v>224903.0</v>
      </c>
      <c r="P88" s="17">
        <v>225829.0</v>
      </c>
      <c r="Q88" s="29">
        <f t="shared" si="220"/>
        <v>125.08125</v>
      </c>
      <c r="R88" s="30">
        <f t="shared" si="221"/>
        <v>175.7376922</v>
      </c>
      <c r="AE88" s="17">
        <v>904680.0</v>
      </c>
      <c r="AF88" s="32">
        <f>136524155/100</f>
        <v>1365241.55</v>
      </c>
      <c r="AG88" s="17">
        <v>1365184.0</v>
      </c>
      <c r="AH88" s="17">
        <v>1366142.0</v>
      </c>
      <c r="AI88" s="32">
        <f t="shared" si="185"/>
        <v>70.678125</v>
      </c>
      <c r="AJ88" s="30">
        <f t="shared" si="186"/>
        <v>106.6594961</v>
      </c>
      <c r="AK88" s="33">
        <f t="shared" si="187"/>
        <v>958</v>
      </c>
      <c r="AO88" s="58" t="s">
        <v>16</v>
      </c>
      <c r="AP88" s="59" t="s">
        <v>17</v>
      </c>
      <c r="AQ88" s="60">
        <v>64.0</v>
      </c>
      <c r="AR88" s="61">
        <v>4133.0</v>
      </c>
      <c r="AS88" s="62">
        <f>685297/100</f>
        <v>6852.97</v>
      </c>
      <c r="AT88" s="61">
        <v>6840.0</v>
      </c>
      <c r="AU88" s="61">
        <v>7725.0</v>
      </c>
      <c r="AV88" s="62">
        <f t="shared" ref="AV88:AV91" si="222">AR88/(10*AQ88)</f>
        <v>6.4578125</v>
      </c>
      <c r="AW88" s="63">
        <f t="shared" ref="AW88:AW91" si="223">AS88/(10*AQ88)</f>
        <v>10.70776563</v>
      </c>
      <c r="AX88" s="61">
        <v>10739.0</v>
      </c>
      <c r="AY88" s="62">
        <f>1918721/100</f>
        <v>19187.21</v>
      </c>
      <c r="AZ88" s="61">
        <v>19173.0</v>
      </c>
      <c r="BA88" s="61">
        <v>20116.0</v>
      </c>
      <c r="BB88" s="62">
        <f t="shared" ref="BB88:BB91" si="224">AX88/(40*AQ88)</f>
        <v>4.194921875</v>
      </c>
      <c r="BC88" s="63">
        <f t="shared" ref="BC88:BC91" si="225">AY88/(40*AQ88)</f>
        <v>7.495003906</v>
      </c>
      <c r="BD88" s="64">
        <v>19539.0</v>
      </c>
      <c r="BE88" s="58">
        <f>3561776/100</f>
        <v>35617.76</v>
      </c>
      <c r="BF88" s="64">
        <v>35603.0</v>
      </c>
      <c r="BG88" s="64">
        <v>36597.0</v>
      </c>
      <c r="BH88" s="62">
        <f t="shared" ref="BH88:BH91" si="226">BD88/(80*AQ88)</f>
        <v>3.816210938</v>
      </c>
      <c r="BI88" s="63">
        <f t="shared" ref="BI88:BI91" si="227">BE88/(80*AQ88)</f>
        <v>6.95659375</v>
      </c>
      <c r="BJ88" s="64">
        <v>23939.0</v>
      </c>
      <c r="BK88" s="58">
        <f>4384058/100</f>
        <v>43840.58</v>
      </c>
      <c r="BL88" s="64">
        <v>43825.0</v>
      </c>
      <c r="BM88" s="64">
        <v>44885.0</v>
      </c>
      <c r="BN88" s="62">
        <f t="shared" ref="BN88:BN91" si="228">BJ88/(100*AQ88)</f>
        <v>3.74046875</v>
      </c>
      <c r="BO88" s="63">
        <f t="shared" ref="BO88:BO91" si="229">BK88/(100*AQ88)</f>
        <v>6.850090625</v>
      </c>
    </row>
    <row r="89">
      <c r="M89" s="17">
        <v>168852.0</v>
      </c>
      <c r="N89" s="29">
        <f>237618310/1000</f>
        <v>237618.31</v>
      </c>
      <c r="O89" s="17">
        <v>237580.0</v>
      </c>
      <c r="P89" s="17">
        <v>238464.0</v>
      </c>
      <c r="Q89" s="29">
        <f t="shared" si="220"/>
        <v>131.915625</v>
      </c>
      <c r="R89" s="30">
        <f t="shared" si="221"/>
        <v>185.6393047</v>
      </c>
      <c r="AE89" s="17">
        <v>982026.0</v>
      </c>
      <c r="AF89" s="32">
        <f>148897881/100</f>
        <v>1488978.81</v>
      </c>
      <c r="AG89" s="17">
        <v>1488926.0</v>
      </c>
      <c r="AH89" s="17">
        <v>1489805.0</v>
      </c>
      <c r="AI89" s="32">
        <f t="shared" si="185"/>
        <v>76.72078125</v>
      </c>
      <c r="AJ89" s="30">
        <f t="shared" si="186"/>
        <v>116.3264695</v>
      </c>
      <c r="AK89" s="33">
        <f t="shared" si="187"/>
        <v>879</v>
      </c>
      <c r="AO89" s="58" t="s">
        <v>18</v>
      </c>
      <c r="AP89" s="59" t="s">
        <v>17</v>
      </c>
      <c r="AQ89" s="60">
        <v>64.0</v>
      </c>
      <c r="AR89" s="61">
        <v>4148.0</v>
      </c>
      <c r="AS89" s="62">
        <f>683758/100</f>
        <v>6837.58</v>
      </c>
      <c r="AT89" s="61">
        <v>6827.0</v>
      </c>
      <c r="AU89" s="61">
        <v>7611.0</v>
      </c>
      <c r="AV89" s="62">
        <f t="shared" si="222"/>
        <v>6.48125</v>
      </c>
      <c r="AW89" s="63">
        <f t="shared" si="223"/>
        <v>10.68371875</v>
      </c>
      <c r="AX89" s="61">
        <v>10814.0</v>
      </c>
      <c r="AY89" s="62">
        <f>1916756/100</f>
        <v>19167.56</v>
      </c>
      <c r="AZ89" s="61">
        <v>19156.0</v>
      </c>
      <c r="BA89" s="61">
        <v>19985.0</v>
      </c>
      <c r="BB89" s="62">
        <f t="shared" si="224"/>
        <v>4.22421875</v>
      </c>
      <c r="BC89" s="63">
        <f t="shared" si="225"/>
        <v>7.487328125</v>
      </c>
      <c r="BD89" s="64">
        <v>19694.0</v>
      </c>
      <c r="BE89" s="58">
        <f>3558774/100</f>
        <v>35587.74</v>
      </c>
      <c r="BF89" s="64">
        <v>35576.0</v>
      </c>
      <c r="BG89" s="64">
        <v>36416.0</v>
      </c>
      <c r="BH89" s="62">
        <f t="shared" si="226"/>
        <v>3.846484375</v>
      </c>
      <c r="BI89" s="63">
        <f t="shared" si="227"/>
        <v>6.950730469</v>
      </c>
      <c r="BJ89" s="64">
        <v>24134.0</v>
      </c>
      <c r="BK89" s="58">
        <f>4379829/100</f>
        <v>43798.29</v>
      </c>
      <c r="BL89" s="64">
        <v>43786.0</v>
      </c>
      <c r="BM89" s="64">
        <v>44661.0</v>
      </c>
      <c r="BN89" s="62">
        <f t="shared" si="228"/>
        <v>3.7709375</v>
      </c>
      <c r="BO89" s="63">
        <f t="shared" si="229"/>
        <v>6.843482813</v>
      </c>
    </row>
    <row r="90">
      <c r="M90" s="17">
        <v>41540.0</v>
      </c>
      <c r="N90" s="29">
        <f>58676895/1000</f>
        <v>58676.895</v>
      </c>
      <c r="O90" s="17">
        <v>58495.0</v>
      </c>
      <c r="P90" s="17">
        <v>60716.0</v>
      </c>
      <c r="Q90" s="29">
        <f t="shared" si="220"/>
        <v>64.90625</v>
      </c>
      <c r="R90" s="30">
        <f t="shared" si="221"/>
        <v>91.68264844</v>
      </c>
      <c r="AE90" s="17">
        <v>95582.0</v>
      </c>
      <c r="AF90" s="32">
        <f>10964921/100</f>
        <v>109649.21</v>
      </c>
      <c r="AG90" s="17">
        <v>109482.0</v>
      </c>
      <c r="AH90" s="17">
        <v>111976.0</v>
      </c>
      <c r="AI90" s="32">
        <f t="shared" si="185"/>
        <v>14.9346875</v>
      </c>
      <c r="AJ90" s="30">
        <f t="shared" si="186"/>
        <v>17.13268906</v>
      </c>
      <c r="AK90" s="33">
        <f t="shared" si="187"/>
        <v>2494</v>
      </c>
      <c r="AO90" s="58" t="s">
        <v>19</v>
      </c>
      <c r="AP90" s="59" t="s">
        <v>17</v>
      </c>
      <c r="AQ90" s="60">
        <v>128.0</v>
      </c>
      <c r="AR90" s="61">
        <v>4535.0</v>
      </c>
      <c r="AS90" s="62">
        <f>783091/100</f>
        <v>7830.91</v>
      </c>
      <c r="AT90" s="61">
        <v>7821.0</v>
      </c>
      <c r="AU90" s="61">
        <v>8525.0</v>
      </c>
      <c r="AV90" s="62">
        <f t="shared" si="222"/>
        <v>3.54296875</v>
      </c>
      <c r="AW90" s="63">
        <f t="shared" si="223"/>
        <v>6.117898438</v>
      </c>
      <c r="AX90" s="61">
        <v>13385.0</v>
      </c>
      <c r="AY90" s="62">
        <f>2447004/100</f>
        <v>24470.04</v>
      </c>
      <c r="AZ90" s="61">
        <v>24460.0</v>
      </c>
      <c r="BA90" s="61">
        <v>25228.0</v>
      </c>
      <c r="BB90" s="62">
        <f t="shared" si="224"/>
        <v>2.614257813</v>
      </c>
      <c r="BC90" s="63">
        <f t="shared" si="225"/>
        <v>4.779304688</v>
      </c>
      <c r="BD90" s="64">
        <v>25185.0</v>
      </c>
      <c r="BE90" s="58">
        <f>4664884/100</f>
        <v>46648.84</v>
      </c>
      <c r="BF90" s="64">
        <v>46637.0</v>
      </c>
      <c r="BG90" s="64">
        <v>47469.0</v>
      </c>
      <c r="BH90" s="62">
        <f t="shared" si="226"/>
        <v>2.459472656</v>
      </c>
      <c r="BI90" s="63">
        <f t="shared" si="227"/>
        <v>4.555550781</v>
      </c>
      <c r="BJ90" s="64">
        <v>31085.0</v>
      </c>
      <c r="BK90" s="58">
        <f>5775118/100</f>
        <v>57751.18</v>
      </c>
      <c r="BL90" s="64">
        <v>57738.0</v>
      </c>
      <c r="BM90" s="64">
        <v>58656.0</v>
      </c>
      <c r="BN90" s="62">
        <f t="shared" si="228"/>
        <v>2.428515625</v>
      </c>
      <c r="BO90" s="63">
        <f t="shared" si="229"/>
        <v>4.511810938</v>
      </c>
    </row>
    <row r="91">
      <c r="M91" s="17">
        <v>41504.0</v>
      </c>
      <c r="N91" s="29">
        <f>58520498/1000</f>
        <v>58520.498</v>
      </c>
      <c r="O91" s="17">
        <v>58346.0</v>
      </c>
      <c r="P91" s="17">
        <v>60322.0</v>
      </c>
      <c r="Q91" s="29">
        <f t="shared" si="220"/>
        <v>64.85</v>
      </c>
      <c r="R91" s="30">
        <f t="shared" si="221"/>
        <v>91.43827813</v>
      </c>
      <c r="AE91" s="17">
        <v>95186.0</v>
      </c>
      <c r="AF91" s="32">
        <f>10836746/100</f>
        <v>108367.46</v>
      </c>
      <c r="AG91" s="17">
        <v>108176.0</v>
      </c>
      <c r="AH91" s="17">
        <v>110322.0</v>
      </c>
      <c r="AI91" s="32">
        <f t="shared" si="185"/>
        <v>14.8728125</v>
      </c>
      <c r="AJ91" s="30">
        <f t="shared" si="186"/>
        <v>16.93241563</v>
      </c>
      <c r="AK91" s="33">
        <f t="shared" si="187"/>
        <v>2146</v>
      </c>
      <c r="AO91" s="58" t="s">
        <v>20</v>
      </c>
      <c r="AP91" s="59" t="s">
        <v>17</v>
      </c>
      <c r="AQ91" s="60">
        <v>128.0</v>
      </c>
      <c r="AR91" s="61">
        <v>4259.0</v>
      </c>
      <c r="AS91" s="62">
        <f>632469/100</f>
        <v>6324.69</v>
      </c>
      <c r="AT91" s="61">
        <v>6315.0</v>
      </c>
      <c r="AU91" s="61">
        <v>7046.0</v>
      </c>
      <c r="AV91" s="62">
        <f t="shared" si="222"/>
        <v>3.32734375</v>
      </c>
      <c r="AW91" s="63">
        <f t="shared" si="223"/>
        <v>4.941164063</v>
      </c>
      <c r="AX91" s="61">
        <v>11339.0</v>
      </c>
      <c r="AY91" s="62">
        <f>1418858/100</f>
        <v>14188.58</v>
      </c>
      <c r="AZ91" s="61">
        <v>14179.0</v>
      </c>
      <c r="BA91" s="61">
        <v>14903.0</v>
      </c>
      <c r="BB91" s="62">
        <f t="shared" si="224"/>
        <v>2.214648438</v>
      </c>
      <c r="BC91" s="63">
        <f t="shared" si="225"/>
        <v>2.771207031</v>
      </c>
      <c r="BD91" s="64">
        <v>25405.0</v>
      </c>
      <c r="BE91" s="58">
        <f>2466624/100</f>
        <v>24666.24</v>
      </c>
      <c r="BF91" s="64">
        <v>24656.0</v>
      </c>
      <c r="BG91" s="64">
        <v>25405.0</v>
      </c>
      <c r="BH91" s="62">
        <f t="shared" si="226"/>
        <v>2.480957031</v>
      </c>
      <c r="BI91" s="63">
        <f t="shared" si="227"/>
        <v>2.4088125</v>
      </c>
      <c r="BJ91" s="64">
        <v>25499.0</v>
      </c>
      <c r="BK91" s="58">
        <f>2990600/100</f>
        <v>29906</v>
      </c>
      <c r="BL91" s="64">
        <v>29896.0</v>
      </c>
      <c r="BM91" s="64">
        <v>30664.0</v>
      </c>
      <c r="BN91" s="62">
        <f t="shared" si="228"/>
        <v>1.992109375</v>
      </c>
      <c r="BO91" s="63">
        <f t="shared" si="229"/>
        <v>2.33640625</v>
      </c>
    </row>
    <row r="92">
      <c r="M92" s="17">
        <v>32573.0</v>
      </c>
      <c r="N92" s="32">
        <f>40985856/1000</f>
        <v>40985.856</v>
      </c>
      <c r="O92" s="17">
        <v>40887.0</v>
      </c>
      <c r="P92" s="17">
        <v>42158.0</v>
      </c>
      <c r="Q92" s="29">
        <f t="shared" si="220"/>
        <v>25.44765625</v>
      </c>
      <c r="R92" s="30">
        <f t="shared" si="221"/>
        <v>32.0202</v>
      </c>
      <c r="AE92" s="17">
        <v>132013.0</v>
      </c>
      <c r="AF92" s="32">
        <f>19128504/100</f>
        <v>191285.04</v>
      </c>
      <c r="AG92" s="17">
        <v>191158.0</v>
      </c>
      <c r="AH92" s="17">
        <v>192948.0</v>
      </c>
      <c r="AI92" s="32">
        <f t="shared" si="185"/>
        <v>10.31351563</v>
      </c>
      <c r="AJ92" s="30">
        <f t="shared" si="186"/>
        <v>14.94414375</v>
      </c>
      <c r="AK92" s="33">
        <f t="shared" si="187"/>
        <v>1790</v>
      </c>
      <c r="AO92" s="53"/>
      <c r="AP92" s="53"/>
      <c r="AQ92" s="53"/>
      <c r="AR92" s="65" t="s">
        <v>26</v>
      </c>
      <c r="AS92" s="13"/>
      <c r="AT92" s="13"/>
      <c r="AU92" s="13"/>
      <c r="AV92" s="13"/>
      <c r="AW92" s="14"/>
      <c r="AX92" s="65" t="s">
        <v>27</v>
      </c>
      <c r="AY92" s="13"/>
      <c r="AZ92" s="13"/>
      <c r="BA92" s="13"/>
      <c r="BB92" s="13"/>
      <c r="BC92" s="14"/>
      <c r="BD92" s="65" t="s">
        <v>28</v>
      </c>
      <c r="BE92" s="13"/>
      <c r="BF92" s="13"/>
      <c r="BG92" s="13"/>
      <c r="BH92" s="13"/>
      <c r="BI92" s="14"/>
      <c r="BJ92" s="65" t="s">
        <v>29</v>
      </c>
      <c r="BK92" s="13"/>
      <c r="BL92" s="13"/>
      <c r="BM92" s="13"/>
      <c r="BN92" s="13"/>
      <c r="BO92" s="14"/>
    </row>
    <row r="93">
      <c r="M93" s="17">
        <v>33687.0</v>
      </c>
      <c r="N93" s="32">
        <f>45564976/1000</f>
        <v>45564.976</v>
      </c>
      <c r="O93" s="17">
        <v>45460.0</v>
      </c>
      <c r="P93" s="17">
        <v>46497.0</v>
      </c>
      <c r="Q93" s="29">
        <f t="shared" si="220"/>
        <v>26.31796875</v>
      </c>
      <c r="R93" s="30">
        <f t="shared" si="221"/>
        <v>35.5976375</v>
      </c>
      <c r="AE93" s="17">
        <v>118214.0</v>
      </c>
      <c r="AF93" s="29">
        <f>13281253/100</f>
        <v>132812.53</v>
      </c>
      <c r="AG93" s="17">
        <v>132698.0</v>
      </c>
      <c r="AH93" s="17">
        <v>134201.0</v>
      </c>
      <c r="AI93" s="32">
        <f t="shared" si="185"/>
        <v>9.23546875</v>
      </c>
      <c r="AJ93" s="30">
        <f t="shared" si="186"/>
        <v>10.37597891</v>
      </c>
      <c r="AK93" s="33">
        <f t="shared" si="187"/>
        <v>1503</v>
      </c>
      <c r="AO93" s="53"/>
      <c r="AP93" s="53"/>
      <c r="AQ93" s="53"/>
      <c r="AR93" s="56" t="s">
        <v>10</v>
      </c>
      <c r="AS93" s="56" t="s">
        <v>11</v>
      </c>
      <c r="AT93" s="56" t="s">
        <v>12</v>
      </c>
      <c r="AU93" s="56" t="s">
        <v>13</v>
      </c>
      <c r="AV93" s="56" t="s">
        <v>14</v>
      </c>
      <c r="AW93" s="57" t="s">
        <v>15</v>
      </c>
      <c r="AX93" s="56" t="s">
        <v>10</v>
      </c>
      <c r="AY93" s="56" t="s">
        <v>11</v>
      </c>
      <c r="AZ93" s="56" t="s">
        <v>12</v>
      </c>
      <c r="BA93" s="56" t="s">
        <v>13</v>
      </c>
      <c r="BB93" s="56" t="s">
        <v>14</v>
      </c>
      <c r="BC93" s="57" t="s">
        <v>15</v>
      </c>
      <c r="BD93" s="56" t="s">
        <v>10</v>
      </c>
      <c r="BE93" s="56" t="s">
        <v>11</v>
      </c>
      <c r="BF93" s="56" t="s">
        <v>12</v>
      </c>
      <c r="BG93" s="56" t="s">
        <v>13</v>
      </c>
      <c r="BH93" s="56" t="s">
        <v>14</v>
      </c>
      <c r="BI93" s="57" t="s">
        <v>15</v>
      </c>
      <c r="BJ93" s="56" t="s">
        <v>10</v>
      </c>
      <c r="BK93" s="56" t="s">
        <v>11</v>
      </c>
      <c r="BL93" s="56" t="s">
        <v>12</v>
      </c>
      <c r="BM93" s="56" t="s">
        <v>13</v>
      </c>
      <c r="BN93" s="56" t="s">
        <v>14</v>
      </c>
      <c r="BO93" s="57" t="s">
        <v>15</v>
      </c>
    </row>
    <row r="94">
      <c r="D94" s="17" t="s">
        <v>74</v>
      </c>
      <c r="E94" s="17" t="s">
        <v>75</v>
      </c>
      <c r="F94" s="17" t="s">
        <v>76</v>
      </c>
      <c r="M94" s="22" t="s">
        <v>77</v>
      </c>
      <c r="N94" s="13"/>
      <c r="O94" s="13"/>
      <c r="P94" s="13"/>
      <c r="Q94" s="13"/>
      <c r="R94" s="14"/>
      <c r="AE94" s="22" t="s">
        <v>78</v>
      </c>
      <c r="AF94" s="13"/>
      <c r="AG94" s="13"/>
      <c r="AH94" s="13"/>
      <c r="AI94" s="13"/>
      <c r="AJ94" s="14"/>
      <c r="AO94" s="58" t="s">
        <v>16</v>
      </c>
      <c r="AP94" s="59" t="s">
        <v>17</v>
      </c>
      <c r="AQ94" s="60">
        <v>64.0</v>
      </c>
      <c r="AR94" s="62">
        <v>18992.0</v>
      </c>
      <c r="AS94" s="62">
        <f>2536469/100</f>
        <v>25364.69</v>
      </c>
      <c r="AT94" s="62">
        <v>25216.0</v>
      </c>
      <c r="AU94" s="62">
        <v>27374.0</v>
      </c>
      <c r="AV94" s="62">
        <f t="shared" ref="AV94:AV97" si="230">AR94/(10*AQ88)</f>
        <v>29.675</v>
      </c>
      <c r="AW94" s="63">
        <f t="shared" ref="AW94:AW97" si="231">AS94/(10*AQ88)</f>
        <v>39.63232813</v>
      </c>
      <c r="AX94" s="62">
        <v>44522.0</v>
      </c>
      <c r="AY94" s="62">
        <f>5258303/100</f>
        <v>52583.03</v>
      </c>
      <c r="AZ94" s="62">
        <v>52397.0</v>
      </c>
      <c r="BA94" s="62">
        <v>54714.0</v>
      </c>
      <c r="BB94" s="62">
        <f t="shared" ref="BB94:BB97" si="232">AX94/(40*AQ88)</f>
        <v>17.39140625</v>
      </c>
      <c r="BC94" s="63">
        <f t="shared" ref="BC94:BC97" si="233">AY94/(40*AQ88)</f>
        <v>20.54024609</v>
      </c>
      <c r="BD94" s="62">
        <v>78562.0</v>
      </c>
      <c r="BE94" s="62">
        <f>8884414/100</f>
        <v>88844.14</v>
      </c>
      <c r="BF94" s="62">
        <v>88714.0</v>
      </c>
      <c r="BG94" s="62">
        <v>91182.0</v>
      </c>
      <c r="BH94" s="62">
        <f t="shared" ref="BH94:BH97" si="234">BD94/(80*AQ88)</f>
        <v>15.34414063</v>
      </c>
      <c r="BI94" s="63">
        <f t="shared" ref="BI94:BI97" si="235">BE94/(80*AQ88)</f>
        <v>17.35237109</v>
      </c>
      <c r="BJ94" s="66">
        <v>95582.0</v>
      </c>
      <c r="BK94" s="62">
        <f>10698982/100</f>
        <v>106989.82</v>
      </c>
      <c r="BL94" s="62">
        <v>106867.0</v>
      </c>
      <c r="BM94" s="62">
        <v>109457.0</v>
      </c>
      <c r="BN94" s="62">
        <f t="shared" ref="BN94:BN97" si="236">BJ94/(100*AQ88)</f>
        <v>14.9346875</v>
      </c>
      <c r="BO94" s="63">
        <f t="shared" ref="BO94:BO97" si="237">BK94/(100*AQ88)</f>
        <v>16.71715938</v>
      </c>
    </row>
    <row r="95">
      <c r="C95" s="17" t="s">
        <v>38</v>
      </c>
      <c r="D95" s="17">
        <v>7.28</v>
      </c>
      <c r="E95" s="17">
        <v>2.75</v>
      </c>
      <c r="F95" s="67">
        <f t="shared" ref="F95:F102" si="238">E95/D95</f>
        <v>0.3777472527</v>
      </c>
      <c r="M95" s="15" t="s">
        <v>10</v>
      </c>
      <c r="N95" s="15" t="s">
        <v>11</v>
      </c>
      <c r="O95" s="15" t="s">
        <v>12</v>
      </c>
      <c r="P95" s="15" t="s">
        <v>13</v>
      </c>
      <c r="Q95" s="15" t="s">
        <v>14</v>
      </c>
      <c r="R95" s="16" t="s">
        <v>15</v>
      </c>
      <c r="AE95" s="15" t="s">
        <v>10</v>
      </c>
      <c r="AF95" s="15" t="s">
        <v>11</v>
      </c>
      <c r="AG95" s="15" t="s">
        <v>12</v>
      </c>
      <c r="AH95" s="15" t="s">
        <v>13</v>
      </c>
      <c r="AI95" s="15" t="s">
        <v>14</v>
      </c>
      <c r="AJ95" s="16" t="s">
        <v>15</v>
      </c>
      <c r="AK95" s="24" t="s">
        <v>34</v>
      </c>
      <c r="AO95" s="58" t="s">
        <v>18</v>
      </c>
      <c r="AP95" s="59" t="s">
        <v>17</v>
      </c>
      <c r="AQ95" s="60">
        <v>64.0</v>
      </c>
      <c r="AR95" s="62">
        <v>18956.0</v>
      </c>
      <c r="AS95" s="62">
        <f>2536611/100</f>
        <v>25366.11</v>
      </c>
      <c r="AT95" s="62">
        <v>25207.0</v>
      </c>
      <c r="AU95" s="62">
        <v>27054.0</v>
      </c>
      <c r="AV95" s="62">
        <f t="shared" si="230"/>
        <v>29.61875</v>
      </c>
      <c r="AW95" s="63">
        <f t="shared" si="231"/>
        <v>39.63454688</v>
      </c>
      <c r="AX95" s="62">
        <v>44366.0</v>
      </c>
      <c r="AY95" s="62">
        <f>5244861/100</f>
        <v>52448.61</v>
      </c>
      <c r="AZ95" s="62">
        <v>52302.0</v>
      </c>
      <c r="BA95" s="62">
        <v>54302.0</v>
      </c>
      <c r="BB95" s="62">
        <f t="shared" si="232"/>
        <v>17.33046875</v>
      </c>
      <c r="BC95" s="63">
        <f t="shared" si="233"/>
        <v>20.48773828</v>
      </c>
      <c r="BD95" s="62">
        <v>78246.0</v>
      </c>
      <c r="BE95" s="62">
        <f>8854837/100</f>
        <v>88548.37</v>
      </c>
      <c r="BF95" s="62">
        <v>88372.0</v>
      </c>
      <c r="BG95" s="62">
        <v>90612.0</v>
      </c>
      <c r="BH95" s="62">
        <f t="shared" si="234"/>
        <v>15.28242188</v>
      </c>
      <c r="BI95" s="63">
        <f t="shared" si="235"/>
        <v>17.29460352</v>
      </c>
      <c r="BJ95" s="62">
        <v>95186.0</v>
      </c>
      <c r="BK95" s="62">
        <f>10661050/100</f>
        <v>106610.5</v>
      </c>
      <c r="BL95" s="62">
        <v>106440.0</v>
      </c>
      <c r="BM95" s="62">
        <v>108755.0</v>
      </c>
      <c r="BN95" s="62">
        <f t="shared" si="236"/>
        <v>14.8728125</v>
      </c>
      <c r="BO95" s="63">
        <f t="shared" si="237"/>
        <v>16.65789063</v>
      </c>
    </row>
    <row r="96">
      <c r="C96" s="17" t="s">
        <v>60</v>
      </c>
      <c r="D96" s="17">
        <v>93.65</v>
      </c>
      <c r="E96" s="17">
        <v>35.49</v>
      </c>
      <c r="F96" s="67">
        <f t="shared" si="238"/>
        <v>0.3789642285</v>
      </c>
      <c r="M96" s="35"/>
      <c r="N96" s="50"/>
      <c r="O96" s="35"/>
      <c r="P96" s="35"/>
      <c r="Q96" s="50"/>
      <c r="R96" s="51"/>
      <c r="AE96" s="17">
        <f>198328</f>
        <v>198328</v>
      </c>
      <c r="AF96" s="32">
        <f>11268059/50</f>
        <v>225361.18</v>
      </c>
      <c r="AG96" s="17">
        <v>225264.0</v>
      </c>
      <c r="AH96" s="17">
        <v>228278.0</v>
      </c>
      <c r="AI96" s="32">
        <f t="shared" ref="AI96:AI119" si="239">AE96/(100*D18)</f>
        <v>3.87359375</v>
      </c>
      <c r="AJ96" s="30">
        <f t="shared" ref="AJ96:AJ119" si="240">AF96/(100*D18)</f>
        <v>4.401585547</v>
      </c>
      <c r="AK96" s="33">
        <f t="shared" ref="AK96:AK119" si="241">AH96-AG96</f>
        <v>3014</v>
      </c>
      <c r="AO96" s="58" t="s">
        <v>19</v>
      </c>
      <c r="AP96" s="59" t="s">
        <v>17</v>
      </c>
      <c r="AQ96" s="60">
        <v>128.0</v>
      </c>
      <c r="AR96" s="62">
        <v>18719.0</v>
      </c>
      <c r="AS96" s="62">
        <f>2292353/100</f>
        <v>22923.53</v>
      </c>
      <c r="AT96" s="62">
        <v>22844.0</v>
      </c>
      <c r="AU96" s="62">
        <v>24106.0</v>
      </c>
      <c r="AV96" s="62">
        <f t="shared" si="230"/>
        <v>14.62421875</v>
      </c>
      <c r="AW96" s="63">
        <f t="shared" si="231"/>
        <v>17.90900781</v>
      </c>
      <c r="AX96" s="62">
        <v>51719.0</v>
      </c>
      <c r="AY96" s="62">
        <f>5686015/100</f>
        <v>56860.15</v>
      </c>
      <c r="AZ96" s="62">
        <v>56798.0</v>
      </c>
      <c r="BA96" s="62">
        <v>58212.0</v>
      </c>
      <c r="BB96" s="62">
        <f t="shared" si="232"/>
        <v>10.10136719</v>
      </c>
      <c r="BC96" s="63">
        <f t="shared" si="233"/>
        <v>11.10549805</v>
      </c>
      <c r="BD96" s="62">
        <v>95719.0</v>
      </c>
      <c r="BE96" s="62">
        <f>10211431/100</f>
        <v>102114.31</v>
      </c>
      <c r="BF96" s="62">
        <v>102040.0</v>
      </c>
      <c r="BG96" s="62">
        <v>103765.0</v>
      </c>
      <c r="BH96" s="62">
        <f t="shared" si="234"/>
        <v>9.347558594</v>
      </c>
      <c r="BI96" s="63">
        <f t="shared" si="235"/>
        <v>9.972100586</v>
      </c>
      <c r="BJ96" s="62">
        <v>117719.0</v>
      </c>
      <c r="BK96" s="62">
        <f>12472675/100</f>
        <v>124726.75</v>
      </c>
      <c r="BL96" s="62">
        <v>124648.0</v>
      </c>
      <c r="BM96" s="62">
        <v>126615.0</v>
      </c>
      <c r="BN96" s="62">
        <f t="shared" si="236"/>
        <v>9.196796875</v>
      </c>
      <c r="BO96" s="63">
        <f t="shared" si="237"/>
        <v>9.744277344</v>
      </c>
    </row>
    <row r="97">
      <c r="C97" s="17" t="s">
        <v>62</v>
      </c>
      <c r="D97" s="17">
        <v>103.47</v>
      </c>
      <c r="E97" s="17">
        <v>34.24</v>
      </c>
      <c r="F97" s="67">
        <f t="shared" si="238"/>
        <v>0.3309171741</v>
      </c>
      <c r="M97" s="17">
        <v>44186.0</v>
      </c>
      <c r="N97" s="29">
        <f>53272918/1000</f>
        <v>53272.918</v>
      </c>
      <c r="O97" s="17">
        <v>53271.0</v>
      </c>
      <c r="P97" s="17">
        <v>54519.0</v>
      </c>
      <c r="Q97" s="29">
        <f>M97/D19*0.1</f>
        <v>8.630078125</v>
      </c>
      <c r="R97" s="30">
        <f>N97/D19*0.1</f>
        <v>10.4048668</v>
      </c>
      <c r="AE97" s="17">
        <v>312008.0</v>
      </c>
      <c r="AF97" s="32">
        <f>18788304/50</f>
        <v>375766.08</v>
      </c>
      <c r="AG97" s="17">
        <v>374574.0</v>
      </c>
      <c r="AH97" s="17">
        <v>376602.0</v>
      </c>
      <c r="AI97" s="32">
        <f t="shared" si="239"/>
        <v>6.09390625</v>
      </c>
      <c r="AJ97" s="30">
        <f t="shared" si="240"/>
        <v>7.33918125</v>
      </c>
      <c r="AK97" s="33">
        <f t="shared" si="241"/>
        <v>2028</v>
      </c>
      <c r="AO97" s="58" t="s">
        <v>20</v>
      </c>
      <c r="AP97" s="59" t="s">
        <v>17</v>
      </c>
      <c r="AQ97" s="60">
        <v>128.0</v>
      </c>
      <c r="AR97" s="62">
        <v>18765.0</v>
      </c>
      <c r="AS97" s="62">
        <f>2316805/100</f>
        <v>23168.05</v>
      </c>
      <c r="AT97" s="62">
        <v>23106.0</v>
      </c>
      <c r="AU97" s="62">
        <v>24133.0</v>
      </c>
      <c r="AV97" s="62">
        <f t="shared" si="230"/>
        <v>14.66015625</v>
      </c>
      <c r="AW97" s="63">
        <f t="shared" si="231"/>
        <v>18.10003906</v>
      </c>
      <c r="AX97" s="62">
        <v>51915.0</v>
      </c>
      <c r="AY97" s="62">
        <f>5818375/100</f>
        <v>58183.75</v>
      </c>
      <c r="AZ97" s="62">
        <v>58106.0</v>
      </c>
      <c r="BA97" s="62">
        <v>59303.0</v>
      </c>
      <c r="BB97" s="62">
        <f t="shared" si="232"/>
        <v>10.13964844</v>
      </c>
      <c r="BC97" s="63">
        <f t="shared" si="233"/>
        <v>11.36401367</v>
      </c>
      <c r="BD97" s="62">
        <v>96115.0</v>
      </c>
      <c r="BE97" s="62">
        <f>10489885/100</f>
        <v>104898.85</v>
      </c>
      <c r="BF97" s="62">
        <v>104836.0</v>
      </c>
      <c r="BG97" s="62">
        <v>106198.0</v>
      </c>
      <c r="BH97" s="62">
        <f t="shared" si="234"/>
        <v>9.386230469</v>
      </c>
      <c r="BI97" s="63">
        <f t="shared" si="235"/>
        <v>10.24402832</v>
      </c>
      <c r="BJ97" s="62">
        <v>118215.0</v>
      </c>
      <c r="BK97" s="62">
        <f>12825183/100</f>
        <v>128251.83</v>
      </c>
      <c r="BL97" s="62">
        <v>128187.0</v>
      </c>
      <c r="BM97" s="62">
        <v>129618.0</v>
      </c>
      <c r="BN97" s="62">
        <f t="shared" si="236"/>
        <v>9.235546875</v>
      </c>
      <c r="BO97" s="63">
        <f t="shared" si="237"/>
        <v>10.01967422</v>
      </c>
    </row>
    <row r="98">
      <c r="C98" s="17" t="s">
        <v>63</v>
      </c>
      <c r="D98" s="17">
        <v>112.95</v>
      </c>
      <c r="E98" s="17">
        <v>33.25</v>
      </c>
      <c r="F98" s="67">
        <f t="shared" si="238"/>
        <v>0.2943780434</v>
      </c>
      <c r="M98" s="35"/>
      <c r="N98" s="50"/>
      <c r="O98" s="35"/>
      <c r="P98" s="35"/>
      <c r="Q98" s="50"/>
      <c r="R98" s="51"/>
      <c r="AE98" s="17">
        <v>429523.0</v>
      </c>
      <c r="AF98" s="32">
        <f>36775478/50</f>
        <v>735509.56</v>
      </c>
      <c r="AG98" s="17">
        <v>735471.0</v>
      </c>
      <c r="AH98" s="17">
        <v>736151.0</v>
      </c>
      <c r="AI98" s="32">
        <f t="shared" si="239"/>
        <v>33.55648438</v>
      </c>
      <c r="AJ98" s="30">
        <f t="shared" si="240"/>
        <v>57.46168438</v>
      </c>
      <c r="AK98" s="33">
        <f t="shared" si="241"/>
        <v>680</v>
      </c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</row>
    <row r="99">
      <c r="C99" s="17" t="s">
        <v>16</v>
      </c>
      <c r="D99" s="17">
        <v>14.52</v>
      </c>
      <c r="E99" s="17">
        <v>21.29</v>
      </c>
      <c r="F99" s="68">
        <f t="shared" si="238"/>
        <v>1.466253444</v>
      </c>
      <c r="M99" s="35"/>
      <c r="N99" s="50"/>
      <c r="O99" s="35"/>
      <c r="P99" s="35"/>
      <c r="Q99" s="50"/>
      <c r="R99" s="51"/>
      <c r="AE99" s="17">
        <v>508123.0</v>
      </c>
      <c r="AF99" s="37">
        <f>43940750/50</f>
        <v>878815</v>
      </c>
      <c r="AG99" s="17">
        <v>878771.0</v>
      </c>
      <c r="AH99" s="17">
        <v>879378.0</v>
      </c>
      <c r="AI99" s="32">
        <f t="shared" si="239"/>
        <v>39.69710938</v>
      </c>
      <c r="AJ99" s="30">
        <f t="shared" si="240"/>
        <v>68.65742188</v>
      </c>
      <c r="AK99" s="33">
        <f t="shared" si="241"/>
        <v>607</v>
      </c>
      <c r="AO99" s="58" t="s">
        <v>16</v>
      </c>
      <c r="AP99" s="59" t="s">
        <v>17</v>
      </c>
      <c r="AQ99" s="60">
        <v>64.0</v>
      </c>
      <c r="AR99" s="69"/>
      <c r="AS99" s="69"/>
      <c r="AT99" s="70">
        <f t="shared" ref="AT99:AW99" si="242">1-AT88/AT94</f>
        <v>0.7287436548</v>
      </c>
      <c r="AU99" s="70">
        <f t="shared" si="242"/>
        <v>0.7177979104</v>
      </c>
      <c r="AV99" s="71">
        <f t="shared" si="242"/>
        <v>0.7823820556</v>
      </c>
      <c r="AW99" s="71">
        <f t="shared" si="242"/>
        <v>0.7298224421</v>
      </c>
      <c r="AX99" s="69"/>
      <c r="AY99" s="69"/>
      <c r="AZ99" s="70">
        <f t="shared" ref="AZ99:BC99" si="243">1-AZ88/AZ94</f>
        <v>0.6340821039</v>
      </c>
      <c r="BA99" s="70">
        <f t="shared" si="243"/>
        <v>0.6323427276</v>
      </c>
      <c r="BB99" s="71">
        <f t="shared" si="243"/>
        <v>0.7587934055</v>
      </c>
      <c r="BC99" s="71">
        <f t="shared" si="243"/>
        <v>0.6351064212</v>
      </c>
      <c r="BD99" s="69"/>
      <c r="BE99" s="69"/>
      <c r="BF99" s="70">
        <f t="shared" ref="BF99:BI99" si="244">1-BF88/BF94</f>
        <v>0.5986766463</v>
      </c>
      <c r="BG99" s="70">
        <f t="shared" si="244"/>
        <v>0.5986378891</v>
      </c>
      <c r="BH99" s="71">
        <f t="shared" si="244"/>
        <v>0.7512919732</v>
      </c>
      <c r="BI99" s="71">
        <f t="shared" si="244"/>
        <v>0.5990983761</v>
      </c>
      <c r="BJ99" s="69"/>
      <c r="BK99" s="69"/>
      <c r="BL99" s="70">
        <f t="shared" ref="BL99:BO99" si="245">1-BL88/BL94</f>
        <v>0.5899108237</v>
      </c>
      <c r="BM99" s="70">
        <f t="shared" si="245"/>
        <v>0.5899302923</v>
      </c>
      <c r="BN99" s="71">
        <f t="shared" si="245"/>
        <v>0.7495448934</v>
      </c>
      <c r="BO99" s="71">
        <f t="shared" si="245"/>
        <v>0.5902359682</v>
      </c>
    </row>
    <row r="100">
      <c r="C100" s="17" t="s">
        <v>18</v>
      </c>
      <c r="D100" s="17">
        <v>14.31</v>
      </c>
      <c r="E100" s="17">
        <v>21.29</v>
      </c>
      <c r="F100" s="68">
        <f t="shared" si="238"/>
        <v>1.48777079</v>
      </c>
      <c r="M100" s="35"/>
      <c r="N100" s="50"/>
      <c r="O100" s="35"/>
      <c r="P100" s="35"/>
      <c r="Q100" s="50"/>
      <c r="R100" s="51"/>
      <c r="AE100" s="17">
        <v>586423.0</v>
      </c>
      <c r="AF100" s="32">
        <f>50732649/50</f>
        <v>1014652.98</v>
      </c>
      <c r="AG100" s="17">
        <v>1014629.0</v>
      </c>
      <c r="AH100" s="17">
        <v>1015178.0</v>
      </c>
      <c r="AI100" s="32">
        <f t="shared" si="239"/>
        <v>45.81429688</v>
      </c>
      <c r="AJ100" s="30">
        <f t="shared" si="240"/>
        <v>79.26976406</v>
      </c>
      <c r="AK100" s="33">
        <f t="shared" si="241"/>
        <v>549</v>
      </c>
      <c r="AO100" s="58" t="s">
        <v>18</v>
      </c>
      <c r="AP100" s="59" t="s">
        <v>17</v>
      </c>
      <c r="AQ100" s="60">
        <v>64.0</v>
      </c>
      <c r="AR100" s="69"/>
      <c r="AS100" s="69"/>
      <c r="AT100" s="70">
        <f t="shared" ref="AT100:AW100" si="246">1-AT89/AT95</f>
        <v>0.7291625342</v>
      </c>
      <c r="AU100" s="70">
        <f t="shared" si="246"/>
        <v>0.7186737636</v>
      </c>
      <c r="AV100" s="71">
        <f t="shared" si="246"/>
        <v>0.7811774636</v>
      </c>
      <c r="AW100" s="71">
        <f t="shared" si="246"/>
        <v>0.7304442818</v>
      </c>
      <c r="AX100" s="69"/>
      <c r="AY100" s="69"/>
      <c r="AZ100" s="72">
        <f t="shared" ref="AZ100:BC100" si="247">1-AZ89/AZ95</f>
        <v>0.6337424955</v>
      </c>
      <c r="BA100" s="70">
        <f t="shared" si="247"/>
        <v>0.6319656735</v>
      </c>
      <c r="BB100" s="71">
        <f t="shared" si="247"/>
        <v>0.7562547897</v>
      </c>
      <c r="BC100" s="71">
        <f t="shared" si="247"/>
        <v>0.6345458917</v>
      </c>
      <c r="BD100" s="69"/>
      <c r="BE100" s="69"/>
      <c r="BF100" s="70">
        <f t="shared" ref="BF100:BI100" si="248">1-BF89/BF95</f>
        <v>0.5974290499</v>
      </c>
      <c r="BG100" s="70">
        <f t="shared" si="248"/>
        <v>0.5981106255</v>
      </c>
      <c r="BH100" s="71">
        <f t="shared" si="248"/>
        <v>0.7483066227</v>
      </c>
      <c r="BI100" s="71">
        <f t="shared" si="248"/>
        <v>0.5980983049</v>
      </c>
      <c r="BJ100" s="69"/>
      <c r="BK100" s="69"/>
      <c r="BL100" s="70">
        <f t="shared" ref="BL100:BO100" si="249">1-BL89/BL95</f>
        <v>0.5886320932</v>
      </c>
      <c r="BM100" s="70">
        <f t="shared" si="249"/>
        <v>0.5893430187</v>
      </c>
      <c r="BN100" s="71">
        <f t="shared" si="249"/>
        <v>0.7464543105</v>
      </c>
      <c r="BO100" s="71">
        <f t="shared" si="249"/>
        <v>0.5891747061</v>
      </c>
    </row>
    <row r="101">
      <c r="C101" s="17" t="s">
        <v>64</v>
      </c>
      <c r="D101" s="17">
        <v>14.26</v>
      </c>
      <c r="E101" s="17">
        <v>9.11</v>
      </c>
      <c r="F101" s="73">
        <f t="shared" si="238"/>
        <v>0.6388499299</v>
      </c>
      <c r="M101" s="35"/>
      <c r="N101" s="50"/>
      <c r="O101" s="35"/>
      <c r="P101" s="35"/>
      <c r="Q101" s="50"/>
      <c r="R101" s="51"/>
      <c r="AE101" s="17">
        <v>651325.0</v>
      </c>
      <c r="AF101" s="37">
        <f>41555790/50</f>
        <v>831115.8</v>
      </c>
      <c r="AG101" s="17">
        <v>831099.0</v>
      </c>
      <c r="AH101" s="17">
        <v>831693.0</v>
      </c>
      <c r="AI101" s="32">
        <f t="shared" si="239"/>
        <v>50.88476563</v>
      </c>
      <c r="AJ101" s="30">
        <f t="shared" si="240"/>
        <v>64.93092188</v>
      </c>
      <c r="AK101" s="33">
        <f t="shared" si="241"/>
        <v>594</v>
      </c>
      <c r="AO101" s="58" t="s">
        <v>19</v>
      </c>
      <c r="AP101" s="59" t="s">
        <v>17</v>
      </c>
      <c r="AQ101" s="60">
        <v>128.0</v>
      </c>
      <c r="AR101" s="69"/>
      <c r="AS101" s="69"/>
      <c r="AT101" s="70">
        <f t="shared" ref="AT101:AW101" si="250">1-AT90/AT96</f>
        <v>0.6576343898</v>
      </c>
      <c r="AU101" s="70">
        <f t="shared" si="250"/>
        <v>0.6463536049</v>
      </c>
      <c r="AV101" s="71">
        <f t="shared" si="250"/>
        <v>0.7577327849</v>
      </c>
      <c r="AW101" s="71">
        <f t="shared" si="250"/>
        <v>0.6583898728</v>
      </c>
      <c r="AX101" s="69"/>
      <c r="AY101" s="69"/>
      <c r="AZ101" s="70">
        <f t="shared" ref="AZ101:BC101" si="251">1-AZ90/AZ96</f>
        <v>0.5693510335</v>
      </c>
      <c r="BA101" s="70">
        <f t="shared" si="251"/>
        <v>0.5666185666</v>
      </c>
      <c r="BB101" s="71">
        <f t="shared" si="251"/>
        <v>0.7411976256</v>
      </c>
      <c r="BC101" s="71">
        <f t="shared" si="251"/>
        <v>0.5696451733</v>
      </c>
      <c r="BD101" s="69"/>
      <c r="BE101" s="69"/>
      <c r="BF101" s="70">
        <f t="shared" ref="BF101:BI101" si="252">1-BF90/BF96</f>
        <v>0.5429537436</v>
      </c>
      <c r="BG101" s="70">
        <f t="shared" si="252"/>
        <v>0.5425336096</v>
      </c>
      <c r="BH101" s="71">
        <f t="shared" si="252"/>
        <v>0.7368860937</v>
      </c>
      <c r="BI101" s="71">
        <f t="shared" si="252"/>
        <v>0.543170394</v>
      </c>
      <c r="BJ101" s="69"/>
      <c r="BK101" s="69"/>
      <c r="BL101" s="70">
        <f t="shared" ref="BL101:BO101" si="253">1-BL90/BL96</f>
        <v>0.5367916052</v>
      </c>
      <c r="BM101" s="70">
        <f t="shared" si="253"/>
        <v>0.5367373534</v>
      </c>
      <c r="BN101" s="71">
        <f t="shared" si="253"/>
        <v>0.7359389733</v>
      </c>
      <c r="BO101" s="71">
        <f t="shared" si="253"/>
        <v>0.5369783948</v>
      </c>
    </row>
    <row r="102">
      <c r="C102" s="17" t="s">
        <v>20</v>
      </c>
      <c r="D102" s="17">
        <v>9.45</v>
      </c>
      <c r="E102" s="17">
        <v>14.05</v>
      </c>
      <c r="F102" s="68">
        <f t="shared" si="238"/>
        <v>1.486772487</v>
      </c>
      <c r="M102" s="35"/>
      <c r="N102" s="50"/>
      <c r="O102" s="35"/>
      <c r="P102" s="35"/>
      <c r="Q102" s="50"/>
      <c r="R102" s="51"/>
      <c r="AE102" s="17">
        <v>779125.0</v>
      </c>
      <c r="AF102" s="32">
        <f>49832473/50</f>
        <v>996649.46</v>
      </c>
      <c r="AG102" s="17">
        <v>996634.0</v>
      </c>
      <c r="AH102" s="17">
        <v>997138.0</v>
      </c>
      <c r="AI102" s="32">
        <f t="shared" si="239"/>
        <v>60.86914063</v>
      </c>
      <c r="AJ102" s="30">
        <f t="shared" si="240"/>
        <v>77.86323906</v>
      </c>
      <c r="AK102" s="33">
        <f t="shared" si="241"/>
        <v>504</v>
      </c>
      <c r="AO102" s="58" t="s">
        <v>20</v>
      </c>
      <c r="AP102" s="59" t="s">
        <v>17</v>
      </c>
      <c r="AQ102" s="60">
        <v>128.0</v>
      </c>
      <c r="AR102" s="69"/>
      <c r="AS102" s="69"/>
      <c r="AT102" s="70">
        <f t="shared" ref="AT102:AW102" si="254">1-AT91/AT97</f>
        <v>0.7266943651</v>
      </c>
      <c r="AU102" s="70">
        <f t="shared" si="254"/>
        <v>0.7080346414</v>
      </c>
      <c r="AV102" s="71">
        <f t="shared" si="254"/>
        <v>0.7730349054</v>
      </c>
      <c r="AW102" s="71">
        <f t="shared" si="254"/>
        <v>0.7270080995</v>
      </c>
      <c r="AX102" s="69"/>
      <c r="AY102" s="69"/>
      <c r="AZ102" s="74">
        <f t="shared" ref="AZ102:BC102" si="255">1-AZ91/AZ97</f>
        <v>0.7559804495</v>
      </c>
      <c r="BA102" s="70">
        <f t="shared" si="255"/>
        <v>0.7486973678</v>
      </c>
      <c r="BB102" s="71">
        <f t="shared" si="255"/>
        <v>0.7815852836</v>
      </c>
      <c r="BC102" s="71">
        <f t="shared" si="255"/>
        <v>0.7561418781</v>
      </c>
      <c r="BD102" s="69"/>
      <c r="BE102" s="69"/>
      <c r="BF102" s="70">
        <f t="shared" ref="BF102:BI102" si="256">1-BF91/BF97</f>
        <v>0.7648136136</v>
      </c>
      <c r="BG102" s="70">
        <f t="shared" si="256"/>
        <v>0.7607770391</v>
      </c>
      <c r="BH102" s="71">
        <f t="shared" si="256"/>
        <v>0.7356812152</v>
      </c>
      <c r="BI102" s="71">
        <f t="shared" si="256"/>
        <v>0.7648569074</v>
      </c>
      <c r="BJ102" s="69"/>
      <c r="BK102" s="69"/>
      <c r="BL102" s="70">
        <f t="shared" ref="BL102:BO102" si="257">1-BL91/BL97</f>
        <v>0.7667782224</v>
      </c>
      <c r="BM102" s="70">
        <f t="shared" si="257"/>
        <v>0.763427919</v>
      </c>
      <c r="BN102" s="71">
        <f t="shared" si="257"/>
        <v>0.7842997928</v>
      </c>
      <c r="BO102" s="71">
        <f t="shared" si="257"/>
        <v>0.7668181421</v>
      </c>
    </row>
    <row r="103">
      <c r="M103" s="35"/>
      <c r="N103" s="50"/>
      <c r="O103" s="35"/>
      <c r="P103" s="35"/>
      <c r="Q103" s="50"/>
      <c r="R103" s="51"/>
      <c r="AE103" s="17">
        <v>906625.0</v>
      </c>
      <c r="AF103" s="32">
        <f>57644423/50</f>
        <v>1152888.46</v>
      </c>
      <c r="AG103" s="17">
        <v>1152875.0</v>
      </c>
      <c r="AH103" s="17">
        <v>1153291.0</v>
      </c>
      <c r="AI103" s="32">
        <f t="shared" si="239"/>
        <v>70.83007813</v>
      </c>
      <c r="AJ103" s="30">
        <f t="shared" si="240"/>
        <v>90.06941094</v>
      </c>
      <c r="AK103" s="33">
        <f t="shared" si="241"/>
        <v>416</v>
      </c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</row>
    <row r="104">
      <c r="M104" s="35"/>
      <c r="N104" s="50"/>
      <c r="O104" s="35"/>
      <c r="P104" s="35"/>
      <c r="Q104" s="50"/>
      <c r="R104" s="51"/>
      <c r="AE104" s="17">
        <v>431285.0</v>
      </c>
      <c r="AF104" s="32">
        <f>36953843/50</f>
        <v>739076.86</v>
      </c>
      <c r="AG104" s="17">
        <v>739020.0</v>
      </c>
      <c r="AH104" s="17">
        <v>740844.0</v>
      </c>
      <c r="AI104" s="32">
        <f t="shared" si="239"/>
        <v>33.69414063</v>
      </c>
      <c r="AJ104" s="30">
        <f t="shared" si="240"/>
        <v>57.74037969</v>
      </c>
      <c r="AK104" s="33">
        <f t="shared" si="241"/>
        <v>1824</v>
      </c>
    </row>
    <row r="105">
      <c r="M105" s="35"/>
      <c r="N105" s="50"/>
      <c r="O105" s="35"/>
      <c r="P105" s="35"/>
      <c r="Q105" s="50"/>
      <c r="R105" s="51"/>
      <c r="AE105" s="17">
        <v>509885.0</v>
      </c>
      <c r="AF105" s="32">
        <f>44117812/50</f>
        <v>882356.24</v>
      </c>
      <c r="AG105" s="17">
        <v>882319.0</v>
      </c>
      <c r="AH105" s="17">
        <v>883204.0</v>
      </c>
      <c r="AI105" s="32">
        <f t="shared" si="239"/>
        <v>39.83476563</v>
      </c>
      <c r="AJ105" s="30">
        <f t="shared" si="240"/>
        <v>68.93408125</v>
      </c>
      <c r="AK105" s="33">
        <f t="shared" si="241"/>
        <v>885</v>
      </c>
    </row>
    <row r="106">
      <c r="M106" s="35"/>
      <c r="N106" s="50"/>
      <c r="O106" s="35"/>
      <c r="P106" s="35"/>
      <c r="Q106" s="50"/>
      <c r="R106" s="51"/>
      <c r="AE106" s="17">
        <v>588185.0</v>
      </c>
      <c r="AF106" s="32">
        <f>50902391/50</f>
        <v>1018047.82</v>
      </c>
      <c r="AG106" s="17">
        <v>1018013.0</v>
      </c>
      <c r="AH106" s="17">
        <v>1018877.0</v>
      </c>
      <c r="AI106" s="32">
        <f t="shared" si="239"/>
        <v>45.95195313</v>
      </c>
      <c r="AJ106" s="30">
        <f t="shared" si="240"/>
        <v>79.53498594</v>
      </c>
      <c r="AK106" s="33">
        <f t="shared" si="241"/>
        <v>864</v>
      </c>
    </row>
    <row r="107">
      <c r="M107" s="35"/>
      <c r="N107" s="50"/>
      <c r="O107" s="35"/>
      <c r="P107" s="35"/>
      <c r="Q107" s="50"/>
      <c r="R107" s="51"/>
      <c r="AE107" s="17">
        <v>653137.0</v>
      </c>
      <c r="AF107" s="32">
        <f>41721374/50</f>
        <v>834427.48</v>
      </c>
      <c r="AG107" s="17">
        <v>834403.0</v>
      </c>
      <c r="AH107" s="17">
        <v>835233.0</v>
      </c>
      <c r="AI107" s="32">
        <f t="shared" si="239"/>
        <v>51.02632813</v>
      </c>
      <c r="AJ107" s="30">
        <f t="shared" si="240"/>
        <v>65.18964688</v>
      </c>
      <c r="AK107" s="33">
        <f t="shared" si="241"/>
        <v>830</v>
      </c>
    </row>
    <row r="108">
      <c r="M108" s="35"/>
      <c r="N108" s="50"/>
      <c r="O108" s="35"/>
      <c r="P108" s="35"/>
      <c r="Q108" s="50"/>
      <c r="R108" s="51"/>
      <c r="AE108" s="17">
        <v>780937.0</v>
      </c>
      <c r="AF108" s="32">
        <f>49975590/50</f>
        <v>999511.8</v>
      </c>
      <c r="AG108" s="17">
        <v>999482.0</v>
      </c>
      <c r="AH108" s="17">
        <v>1000605.0</v>
      </c>
      <c r="AI108" s="32">
        <f t="shared" si="239"/>
        <v>61.01070313</v>
      </c>
      <c r="AJ108" s="30">
        <f t="shared" si="240"/>
        <v>78.08685938</v>
      </c>
      <c r="AK108" s="33">
        <f t="shared" si="241"/>
        <v>1123</v>
      </c>
    </row>
    <row r="109">
      <c r="M109" s="35"/>
      <c r="N109" s="50"/>
      <c r="O109" s="35"/>
      <c r="P109" s="35"/>
      <c r="Q109" s="50"/>
      <c r="R109" s="51"/>
      <c r="AE109" s="17">
        <v>908437.0</v>
      </c>
      <c r="AF109" s="32">
        <f>57806786/50</f>
        <v>1156135.72</v>
      </c>
      <c r="AG109" s="17">
        <v>1156117.0</v>
      </c>
      <c r="AH109" s="17">
        <v>1156660.0</v>
      </c>
      <c r="AI109" s="32">
        <f t="shared" si="239"/>
        <v>70.97164063</v>
      </c>
      <c r="AJ109" s="30">
        <f t="shared" si="240"/>
        <v>90.32310313</v>
      </c>
      <c r="AK109" s="33">
        <f t="shared" si="241"/>
        <v>543</v>
      </c>
      <c r="AR109" s="75" t="s">
        <v>58</v>
      </c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7"/>
    </row>
    <row r="110">
      <c r="M110" s="35"/>
      <c r="N110" s="50"/>
      <c r="O110" s="35"/>
      <c r="P110" s="35"/>
      <c r="Q110" s="50"/>
      <c r="R110" s="51"/>
      <c r="AE110" s="17">
        <v>431936.0</v>
      </c>
      <c r="AF110" s="32">
        <f>37100675/50</f>
        <v>742013.5</v>
      </c>
      <c r="AG110" s="17">
        <v>741990.0</v>
      </c>
      <c r="AH110" s="17">
        <v>742735.0</v>
      </c>
      <c r="AI110" s="32">
        <f t="shared" si="239"/>
        <v>33.745</v>
      </c>
      <c r="AJ110" s="30">
        <f t="shared" si="240"/>
        <v>57.96980469</v>
      </c>
      <c r="AK110" s="33">
        <f t="shared" si="241"/>
        <v>745</v>
      </c>
      <c r="AR110" s="9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1"/>
    </row>
    <row r="111">
      <c r="M111" s="35"/>
      <c r="N111" s="50"/>
      <c r="O111" s="35"/>
      <c r="P111" s="35"/>
      <c r="Q111" s="50"/>
      <c r="R111" s="51"/>
      <c r="AE111" s="17">
        <v>510536.0</v>
      </c>
      <c r="AF111" s="32">
        <f>44292489/50</f>
        <v>885849.78</v>
      </c>
      <c r="AG111" s="17">
        <v>885831.0</v>
      </c>
      <c r="AH111" s="17">
        <v>886326.0</v>
      </c>
      <c r="AI111" s="32">
        <f t="shared" si="239"/>
        <v>39.885625</v>
      </c>
      <c r="AJ111" s="30">
        <f t="shared" si="240"/>
        <v>69.20701406</v>
      </c>
      <c r="AK111" s="33">
        <f t="shared" si="241"/>
        <v>495</v>
      </c>
      <c r="AR111" s="55" t="s">
        <v>70</v>
      </c>
      <c r="AS111" s="13"/>
      <c r="AT111" s="13"/>
      <c r="AU111" s="13"/>
      <c r="AV111" s="13"/>
      <c r="AW111" s="14"/>
      <c r="AX111" s="55" t="s">
        <v>71</v>
      </c>
      <c r="AY111" s="13"/>
      <c r="AZ111" s="13"/>
      <c r="BA111" s="13"/>
      <c r="BB111" s="13"/>
      <c r="BC111" s="14"/>
      <c r="BD111" s="55" t="s">
        <v>72</v>
      </c>
      <c r="BE111" s="13"/>
      <c r="BF111" s="13"/>
      <c r="BG111" s="13"/>
      <c r="BH111" s="13"/>
      <c r="BI111" s="14"/>
      <c r="BJ111" s="55" t="s">
        <v>73</v>
      </c>
      <c r="BK111" s="13"/>
      <c r="BL111" s="13"/>
      <c r="BM111" s="13"/>
      <c r="BN111" s="13"/>
      <c r="BO111" s="14"/>
    </row>
    <row r="112">
      <c r="M112" s="35"/>
      <c r="N112" s="50"/>
      <c r="O112" s="35"/>
      <c r="P112" s="35"/>
      <c r="Q112" s="50"/>
      <c r="R112" s="51"/>
      <c r="AE112" s="17">
        <v>588836.0</v>
      </c>
      <c r="AF112" s="32">
        <f>51085007/50</f>
        <v>1021700.14</v>
      </c>
      <c r="AG112" s="17">
        <v>1021685.0</v>
      </c>
      <c r="AH112" s="17">
        <v>1022095.0</v>
      </c>
      <c r="AI112" s="32">
        <f t="shared" si="239"/>
        <v>46.0028125</v>
      </c>
      <c r="AJ112" s="30">
        <f t="shared" si="240"/>
        <v>79.82032344</v>
      </c>
      <c r="AK112" s="33">
        <f t="shared" si="241"/>
        <v>410</v>
      </c>
      <c r="AR112" s="15" t="s">
        <v>10</v>
      </c>
      <c r="AS112" s="15" t="s">
        <v>11</v>
      </c>
      <c r="AT112" s="15" t="s">
        <v>12</v>
      </c>
      <c r="AU112" s="15" t="s">
        <v>13</v>
      </c>
      <c r="AV112" s="15" t="s">
        <v>14</v>
      </c>
      <c r="AW112" s="16" t="s">
        <v>15</v>
      </c>
      <c r="AX112" s="15" t="s">
        <v>10</v>
      </c>
      <c r="AY112" s="15" t="s">
        <v>11</v>
      </c>
      <c r="AZ112" s="15" t="s">
        <v>12</v>
      </c>
      <c r="BA112" s="15" t="s">
        <v>13</v>
      </c>
      <c r="BB112" s="15" t="s">
        <v>14</v>
      </c>
      <c r="BC112" s="16" t="s">
        <v>15</v>
      </c>
      <c r="BD112" s="15" t="s">
        <v>10</v>
      </c>
      <c r="BE112" s="15" t="s">
        <v>11</v>
      </c>
      <c r="BF112" s="15" t="s">
        <v>12</v>
      </c>
      <c r="BG112" s="15" t="s">
        <v>13</v>
      </c>
      <c r="BH112" s="15" t="s">
        <v>14</v>
      </c>
      <c r="BI112" s="16" t="s">
        <v>15</v>
      </c>
      <c r="BJ112" s="15" t="s">
        <v>10</v>
      </c>
      <c r="BK112" s="15" t="s">
        <v>11</v>
      </c>
      <c r="BL112" s="15" t="s">
        <v>12</v>
      </c>
      <c r="BM112" s="15" t="s">
        <v>13</v>
      </c>
      <c r="BN112" s="15" t="s">
        <v>14</v>
      </c>
      <c r="BO112" s="16" t="s">
        <v>15</v>
      </c>
    </row>
    <row r="113">
      <c r="M113" s="17">
        <v>247680.0</v>
      </c>
      <c r="N113" s="29">
        <f>321287493/1000</f>
        <v>321287.493</v>
      </c>
      <c r="O113" s="17">
        <v>321254.0</v>
      </c>
      <c r="P113" s="17">
        <v>322580.0</v>
      </c>
      <c r="Q113" s="29">
        <f t="shared" ref="Q113:Q119" si="258">M113/D35*0.1</f>
        <v>193.5</v>
      </c>
      <c r="R113" s="30">
        <f t="shared" ref="R113:R119" si="259">N113/D35*0.1</f>
        <v>251.0058539</v>
      </c>
      <c r="AE113" s="17">
        <v>843408.0</v>
      </c>
      <c r="AF113" s="32">
        <f>61884870/50</f>
        <v>1237697.4</v>
      </c>
      <c r="AG113" s="17">
        <v>1237624.0</v>
      </c>
      <c r="AH113" s="17">
        <v>1238578.0</v>
      </c>
      <c r="AI113" s="32">
        <f t="shared" si="239"/>
        <v>65.89125</v>
      </c>
      <c r="AJ113" s="30">
        <f t="shared" si="240"/>
        <v>96.69510938</v>
      </c>
      <c r="AK113" s="33">
        <f t="shared" si="241"/>
        <v>954</v>
      </c>
      <c r="AO113" s="17" t="s">
        <v>16</v>
      </c>
      <c r="AP113" s="18" t="s">
        <v>17</v>
      </c>
      <c r="AQ113" s="18">
        <v>64.0</v>
      </c>
      <c r="AR113" s="17">
        <v>5236.0</v>
      </c>
      <c r="AS113" s="19">
        <f>871372/100</f>
        <v>8713.72</v>
      </c>
      <c r="AT113" s="17">
        <v>8706.0</v>
      </c>
      <c r="AU113" s="17">
        <v>9288.0</v>
      </c>
      <c r="AV113" s="19">
        <f t="shared" ref="AV113:AV116" si="260">AR113/(10*AQ113)</f>
        <v>8.18125</v>
      </c>
      <c r="AW113" s="20">
        <f t="shared" ref="AW113:AW116" si="261">AS113/(10*AQ113)</f>
        <v>13.6151875</v>
      </c>
      <c r="AX113" s="17">
        <v>12652.0</v>
      </c>
      <c r="AY113" s="19">
        <f>2107878/100</f>
        <v>21078.78</v>
      </c>
      <c r="AZ113" s="17">
        <v>21070.0</v>
      </c>
      <c r="BA113" s="17">
        <v>21779.0</v>
      </c>
      <c r="BB113" s="19">
        <f t="shared" ref="BB113:BB116" si="262">AX113/(40*AQ113)</f>
        <v>4.9421875</v>
      </c>
      <c r="BC113" s="20">
        <f t="shared" ref="BC113:BC116" si="263">AY113/(40*AQ113)</f>
        <v>8.233898438</v>
      </c>
      <c r="BD113" s="17">
        <v>22532.0</v>
      </c>
      <c r="BE113" s="19">
        <f>3756042/100</f>
        <v>37560.42</v>
      </c>
      <c r="BF113" s="17">
        <v>37550.0</v>
      </c>
      <c r="BG113" s="17">
        <v>38371.0</v>
      </c>
      <c r="BH113" s="19">
        <f t="shared" ref="BH113:BH116" si="264">BD113/(80*AQ113)</f>
        <v>4.40078125</v>
      </c>
      <c r="BI113" s="20">
        <f t="shared" ref="BI113:BI116" si="265">BE113/(80*AQ113)</f>
        <v>7.336019531</v>
      </c>
      <c r="BJ113" s="17">
        <v>27472.0</v>
      </c>
      <c r="BK113" s="19">
        <f>4581024/100</f>
        <v>45810.24</v>
      </c>
      <c r="BL113" s="17">
        <v>45798.0</v>
      </c>
      <c r="BM113" s="17">
        <v>46716.0</v>
      </c>
      <c r="BN113" s="19">
        <f t="shared" ref="BN113:BN116" si="266">BJ113/(100*AQ113)</f>
        <v>4.2925</v>
      </c>
      <c r="BO113" s="20">
        <f t="shared" ref="BO113:BO116" si="267">BK113/(100*AQ113)</f>
        <v>7.15785</v>
      </c>
    </row>
    <row r="114">
      <c r="M114" s="17">
        <v>247932.0</v>
      </c>
      <c r="N114" s="29">
        <f>330126914/1000</f>
        <v>330126.914</v>
      </c>
      <c r="O114" s="17">
        <v>330095.0</v>
      </c>
      <c r="P114" s="17">
        <v>331073.0</v>
      </c>
      <c r="Q114" s="29">
        <f t="shared" si="258"/>
        <v>193.696875</v>
      </c>
      <c r="R114" s="30">
        <f t="shared" si="259"/>
        <v>257.9116516</v>
      </c>
      <c r="AE114" s="17">
        <v>904680.0</v>
      </c>
      <c r="AF114" s="32">
        <f>68296729/50</f>
        <v>1365934.58</v>
      </c>
      <c r="AG114" s="17">
        <v>1365865.0</v>
      </c>
      <c r="AH114" s="17">
        <v>1366821.0</v>
      </c>
      <c r="AI114" s="32">
        <f t="shared" si="239"/>
        <v>70.678125</v>
      </c>
      <c r="AJ114" s="30">
        <f t="shared" si="240"/>
        <v>106.7136391</v>
      </c>
      <c r="AK114" s="33">
        <f t="shared" si="241"/>
        <v>956</v>
      </c>
      <c r="AO114" s="17" t="s">
        <v>18</v>
      </c>
      <c r="AP114" s="18" t="s">
        <v>17</v>
      </c>
      <c r="AQ114" s="18">
        <v>64.0</v>
      </c>
      <c r="AR114" s="17">
        <v>5249.0</v>
      </c>
      <c r="AS114" s="19">
        <f>870980/100</f>
        <v>8709.8</v>
      </c>
      <c r="AT114" s="17">
        <v>8702.0</v>
      </c>
      <c r="AU114" s="17">
        <v>9256.0</v>
      </c>
      <c r="AV114" s="19">
        <f t="shared" si="260"/>
        <v>8.2015625</v>
      </c>
      <c r="AW114" s="20">
        <f t="shared" si="261"/>
        <v>13.6090625</v>
      </c>
      <c r="AX114" s="17">
        <v>12725.0</v>
      </c>
      <c r="AY114" s="19">
        <f>2110737/100</f>
        <v>21107.37</v>
      </c>
      <c r="AZ114" s="17">
        <v>21099.0</v>
      </c>
      <c r="BA114" s="17">
        <v>21750.0</v>
      </c>
      <c r="BB114" s="19">
        <f t="shared" si="262"/>
        <v>4.970703125</v>
      </c>
      <c r="BC114" s="20">
        <f t="shared" si="263"/>
        <v>8.245066406</v>
      </c>
      <c r="BD114" s="17">
        <v>22685.0</v>
      </c>
      <c r="BE114" s="19">
        <f>3762760/100</f>
        <v>37627.6</v>
      </c>
      <c r="BF114" s="17">
        <v>37619.0</v>
      </c>
      <c r="BG114" s="17">
        <v>38294.0</v>
      </c>
      <c r="BH114" s="19">
        <f t="shared" si="264"/>
        <v>4.430664063</v>
      </c>
      <c r="BI114" s="20">
        <f t="shared" si="265"/>
        <v>7.349140625</v>
      </c>
      <c r="BJ114" s="17">
        <v>27665.0</v>
      </c>
      <c r="BK114" s="19">
        <f>4589004/100</f>
        <v>45890.04</v>
      </c>
      <c r="BL114" s="17">
        <v>45881.0</v>
      </c>
      <c r="BM114" s="17">
        <v>46571.0</v>
      </c>
      <c r="BN114" s="19">
        <f t="shared" si="266"/>
        <v>4.32265625</v>
      </c>
      <c r="BO114" s="20">
        <f t="shared" si="267"/>
        <v>7.17031875</v>
      </c>
    </row>
    <row r="115">
      <c r="M115" s="17">
        <v>256104.0</v>
      </c>
      <c r="N115" s="29">
        <f>339746125/1000</f>
        <v>339746.125</v>
      </c>
      <c r="O115" s="17">
        <v>339717.0</v>
      </c>
      <c r="P115" s="17">
        <v>340609.0</v>
      </c>
      <c r="Q115" s="29">
        <f t="shared" si="258"/>
        <v>200.08125</v>
      </c>
      <c r="R115" s="30">
        <f t="shared" si="259"/>
        <v>265.4266602</v>
      </c>
      <c r="AE115" s="17">
        <v>982026.0</v>
      </c>
      <c r="AF115" s="32">
        <f>74489122/50</f>
        <v>1489782.44</v>
      </c>
      <c r="AG115" s="17">
        <v>1489722.0</v>
      </c>
      <c r="AH115" s="17">
        <v>1490594.0</v>
      </c>
      <c r="AI115" s="32">
        <f t="shared" si="239"/>
        <v>76.72078125</v>
      </c>
      <c r="AJ115" s="30">
        <f t="shared" si="240"/>
        <v>116.3892531</v>
      </c>
      <c r="AK115" s="33">
        <f t="shared" si="241"/>
        <v>872</v>
      </c>
      <c r="AO115" s="17" t="s">
        <v>19</v>
      </c>
      <c r="AP115" s="18" t="s">
        <v>17</v>
      </c>
      <c r="AQ115" s="18">
        <v>128.0</v>
      </c>
      <c r="AR115" s="17">
        <v>5312.0</v>
      </c>
      <c r="AS115" s="19">
        <f>900903/100</f>
        <v>9009.03</v>
      </c>
      <c r="AT115" s="17">
        <v>8999.0</v>
      </c>
      <c r="AU115" s="17">
        <v>9601.0</v>
      </c>
      <c r="AV115" s="19">
        <f t="shared" si="260"/>
        <v>4.15</v>
      </c>
      <c r="AW115" s="20">
        <f t="shared" si="261"/>
        <v>7.038304688</v>
      </c>
      <c r="AX115" s="17">
        <v>15152.0</v>
      </c>
      <c r="AY115" s="19">
        <f>2573384/100</f>
        <v>25733.84</v>
      </c>
      <c r="AZ115" s="17">
        <v>25721.0</v>
      </c>
      <c r="BA115" s="17">
        <v>26507.0</v>
      </c>
      <c r="BB115" s="19">
        <f t="shared" si="262"/>
        <v>2.959375</v>
      </c>
      <c r="BC115" s="20">
        <f t="shared" si="263"/>
        <v>5.026140625</v>
      </c>
      <c r="BD115" s="17">
        <v>28272.0</v>
      </c>
      <c r="BE115" s="19">
        <f>4803535/100</f>
        <v>48035.35</v>
      </c>
      <c r="BF115" s="17">
        <v>48018.0</v>
      </c>
      <c r="BG115" s="17">
        <v>48989.0</v>
      </c>
      <c r="BH115" s="19">
        <f t="shared" si="264"/>
        <v>2.7609375</v>
      </c>
      <c r="BI115" s="20">
        <f t="shared" si="265"/>
        <v>4.690952148</v>
      </c>
      <c r="BJ115" s="17">
        <v>34832.0</v>
      </c>
      <c r="BK115" s="19">
        <f>5919716/100</f>
        <v>59197.16</v>
      </c>
      <c r="BL115" s="17">
        <v>59180.0</v>
      </c>
      <c r="BM115" s="17">
        <v>60336.0</v>
      </c>
      <c r="BN115" s="19">
        <f t="shared" si="266"/>
        <v>2.72125</v>
      </c>
      <c r="BO115" s="20">
        <f t="shared" si="267"/>
        <v>4.624778125</v>
      </c>
    </row>
    <row r="116">
      <c r="M116" s="17">
        <v>86636.0</v>
      </c>
      <c r="N116" s="29">
        <f>124065691/1000</f>
        <v>124065.691</v>
      </c>
      <c r="O116" s="17">
        <v>123895.0</v>
      </c>
      <c r="P116" s="17">
        <v>126250.0</v>
      </c>
      <c r="Q116" s="29">
        <f t="shared" si="258"/>
        <v>135.36875</v>
      </c>
      <c r="R116" s="30">
        <f t="shared" si="259"/>
        <v>193.8526422</v>
      </c>
      <c r="AE116" s="17">
        <v>95582.0</v>
      </c>
      <c r="AF116" s="32">
        <f>5485062/50</f>
        <v>109701.24</v>
      </c>
      <c r="AG116" s="17">
        <v>109514.0</v>
      </c>
      <c r="AH116" s="17">
        <v>111972.0</v>
      </c>
      <c r="AI116" s="32">
        <f t="shared" si="239"/>
        <v>14.9346875</v>
      </c>
      <c r="AJ116" s="30">
        <f t="shared" si="240"/>
        <v>17.14081875</v>
      </c>
      <c r="AK116" s="33">
        <f t="shared" si="241"/>
        <v>2458</v>
      </c>
      <c r="AO116" s="17" t="s">
        <v>20</v>
      </c>
      <c r="AP116" s="18" t="s">
        <v>17</v>
      </c>
      <c r="AQ116" s="18">
        <v>128.0</v>
      </c>
      <c r="AR116" s="17">
        <v>5346.0</v>
      </c>
      <c r="AS116" s="17">
        <f>895959/100</f>
        <v>8959.59</v>
      </c>
      <c r="AT116" s="17">
        <v>8951.0</v>
      </c>
      <c r="AU116" s="17">
        <v>9583.0</v>
      </c>
      <c r="AV116" s="19">
        <f t="shared" si="260"/>
        <v>4.1765625</v>
      </c>
      <c r="AW116" s="20">
        <f t="shared" si="261"/>
        <v>6.999679688</v>
      </c>
      <c r="AX116" s="17">
        <v>15306.0</v>
      </c>
      <c r="AY116" s="19">
        <f>2564336/100</f>
        <v>25643.36</v>
      </c>
      <c r="AZ116" s="17">
        <v>25635.0</v>
      </c>
      <c r="BA116" s="17">
        <v>26282.0</v>
      </c>
      <c r="BB116" s="19">
        <f t="shared" si="262"/>
        <v>2.989453125</v>
      </c>
      <c r="BC116" s="20">
        <f t="shared" si="263"/>
        <v>5.00846875</v>
      </c>
      <c r="BD116" s="17">
        <v>28586.0</v>
      </c>
      <c r="BE116" s="19">
        <f>4788246/100</f>
        <v>47882.46</v>
      </c>
      <c r="BF116" s="17">
        <v>47872.0</v>
      </c>
      <c r="BG116" s="17">
        <v>48648.0</v>
      </c>
      <c r="BH116" s="19">
        <f t="shared" si="264"/>
        <v>2.791601563</v>
      </c>
      <c r="BI116" s="20">
        <f t="shared" si="265"/>
        <v>4.676021484</v>
      </c>
      <c r="BJ116" s="17">
        <v>35226.0</v>
      </c>
      <c r="BK116" s="19">
        <f>5900414/100</f>
        <v>59004.14</v>
      </c>
      <c r="BL116" s="17">
        <v>58994.0</v>
      </c>
      <c r="BM116" s="17">
        <v>59802.0</v>
      </c>
      <c r="BN116" s="19">
        <f t="shared" si="266"/>
        <v>2.75203125</v>
      </c>
      <c r="BO116" s="20">
        <f t="shared" si="267"/>
        <v>4.609698438</v>
      </c>
    </row>
    <row r="117">
      <c r="M117" s="17">
        <v>86600.0</v>
      </c>
      <c r="N117" s="29">
        <f>123916768/1000</f>
        <v>123916.768</v>
      </c>
      <c r="O117" s="17">
        <v>123739.0</v>
      </c>
      <c r="P117" s="17">
        <v>125622.0</v>
      </c>
      <c r="Q117" s="29">
        <f t="shared" si="258"/>
        <v>135.3125</v>
      </c>
      <c r="R117" s="30">
        <f t="shared" si="259"/>
        <v>193.61995</v>
      </c>
      <c r="AE117" s="17">
        <v>95186.0</v>
      </c>
      <c r="AF117" s="32">
        <f>5419061/50</f>
        <v>108381.22</v>
      </c>
      <c r="AG117" s="17">
        <v>108209.0</v>
      </c>
      <c r="AH117" s="17">
        <v>110448.0</v>
      </c>
      <c r="AI117" s="32">
        <f t="shared" si="239"/>
        <v>14.8728125</v>
      </c>
      <c r="AJ117" s="30">
        <f t="shared" si="240"/>
        <v>16.93456563</v>
      </c>
      <c r="AK117" s="33">
        <f t="shared" si="241"/>
        <v>2239</v>
      </c>
      <c r="AR117" s="23" t="s">
        <v>26</v>
      </c>
      <c r="AS117" s="13"/>
      <c r="AT117" s="13"/>
      <c r="AU117" s="13"/>
      <c r="AV117" s="13"/>
      <c r="AW117" s="14"/>
      <c r="AX117" s="23" t="s">
        <v>27</v>
      </c>
      <c r="AY117" s="13"/>
      <c r="AZ117" s="13"/>
      <c r="BA117" s="13"/>
      <c r="BB117" s="13"/>
      <c r="BC117" s="14"/>
      <c r="BD117" s="23" t="s">
        <v>28</v>
      </c>
      <c r="BE117" s="13"/>
      <c r="BF117" s="13"/>
      <c r="BG117" s="13"/>
      <c r="BH117" s="13"/>
      <c r="BI117" s="14"/>
      <c r="BJ117" s="23" t="s">
        <v>29</v>
      </c>
      <c r="BK117" s="13"/>
      <c r="BL117" s="13"/>
      <c r="BM117" s="13"/>
      <c r="BN117" s="13"/>
      <c r="BO117" s="14"/>
    </row>
    <row r="118">
      <c r="M118" s="17">
        <v>58781.0</v>
      </c>
      <c r="N118" s="32">
        <f>68994999/1000</f>
        <v>68994.999</v>
      </c>
      <c r="O118" s="17">
        <v>68891.0</v>
      </c>
      <c r="P118" s="17">
        <v>70273.0</v>
      </c>
      <c r="Q118" s="29">
        <f t="shared" si="258"/>
        <v>45.92265625</v>
      </c>
      <c r="R118" s="30">
        <f t="shared" si="259"/>
        <v>53.90234297</v>
      </c>
      <c r="AE118" s="17">
        <v>132013.0</v>
      </c>
      <c r="AF118" s="32">
        <f>9565349/50</f>
        <v>191306.98</v>
      </c>
      <c r="AG118" s="17">
        <v>191181.0</v>
      </c>
      <c r="AH118" s="17">
        <v>192989.0</v>
      </c>
      <c r="AI118" s="32">
        <f t="shared" si="239"/>
        <v>10.31351563</v>
      </c>
      <c r="AJ118" s="30">
        <f t="shared" si="240"/>
        <v>14.94585781</v>
      </c>
      <c r="AK118" s="33">
        <f t="shared" si="241"/>
        <v>1808</v>
      </c>
      <c r="AR118" s="15" t="s">
        <v>10</v>
      </c>
      <c r="AS118" s="15" t="s">
        <v>11</v>
      </c>
      <c r="AT118" s="15" t="s">
        <v>12</v>
      </c>
      <c r="AU118" s="15" t="s">
        <v>13</v>
      </c>
      <c r="AV118" s="15" t="s">
        <v>14</v>
      </c>
      <c r="AW118" s="16" t="s">
        <v>15</v>
      </c>
      <c r="AX118" s="15" t="s">
        <v>10</v>
      </c>
      <c r="AY118" s="15" t="s">
        <v>11</v>
      </c>
      <c r="AZ118" s="15" t="s">
        <v>12</v>
      </c>
      <c r="BA118" s="15" t="s">
        <v>13</v>
      </c>
      <c r="BB118" s="15" t="s">
        <v>14</v>
      </c>
      <c r="BC118" s="16" t="s">
        <v>15</v>
      </c>
      <c r="BD118" s="15" t="s">
        <v>10</v>
      </c>
      <c r="BE118" s="15" t="s">
        <v>11</v>
      </c>
      <c r="BF118" s="15" t="s">
        <v>12</v>
      </c>
      <c r="BG118" s="15" t="s">
        <v>13</v>
      </c>
      <c r="BH118" s="15" t="s">
        <v>14</v>
      </c>
      <c r="BI118" s="16" t="s">
        <v>15</v>
      </c>
      <c r="BJ118" s="15" t="s">
        <v>10</v>
      </c>
      <c r="BK118" s="15" t="s">
        <v>11</v>
      </c>
      <c r="BL118" s="15" t="s">
        <v>12</v>
      </c>
      <c r="BM118" s="15" t="s">
        <v>13</v>
      </c>
      <c r="BN118" s="15" t="s">
        <v>14</v>
      </c>
      <c r="BO118" s="16" t="s">
        <v>15</v>
      </c>
    </row>
    <row r="119">
      <c r="M119" s="17">
        <v>63531.0</v>
      </c>
      <c r="N119" s="32">
        <f>88727741/1000</f>
        <v>88727.741</v>
      </c>
      <c r="O119" s="17">
        <v>88616.0</v>
      </c>
      <c r="P119" s="17">
        <v>89635.0</v>
      </c>
      <c r="Q119" s="29">
        <f t="shared" si="258"/>
        <v>49.63359375</v>
      </c>
      <c r="R119" s="30">
        <f t="shared" si="259"/>
        <v>69.31854766</v>
      </c>
      <c r="AE119" s="17">
        <v>118214.0</v>
      </c>
      <c r="AF119" s="29">
        <f>6644389/50</f>
        <v>132887.78</v>
      </c>
      <c r="AG119" s="17">
        <v>132788.0</v>
      </c>
      <c r="AH119" s="17">
        <v>134250.0</v>
      </c>
      <c r="AI119" s="32">
        <f t="shared" si="239"/>
        <v>9.23546875</v>
      </c>
      <c r="AJ119" s="30">
        <f t="shared" si="240"/>
        <v>10.38185781</v>
      </c>
      <c r="AK119" s="33">
        <f t="shared" si="241"/>
        <v>1462</v>
      </c>
      <c r="AO119" s="17" t="s">
        <v>16</v>
      </c>
      <c r="AP119" s="18" t="s">
        <v>17</v>
      </c>
      <c r="AQ119" s="18">
        <v>64.0</v>
      </c>
      <c r="AR119" s="17">
        <v>19930.0</v>
      </c>
      <c r="AS119" s="19">
        <f>2803743/100</f>
        <v>28037.43</v>
      </c>
      <c r="AT119" s="17">
        <v>28024.0</v>
      </c>
      <c r="AU119" s="17">
        <v>28966.0</v>
      </c>
      <c r="AV119" s="19">
        <f t="shared" ref="AV119:AV122" si="268">AR119/(10*AQ113)</f>
        <v>31.140625</v>
      </c>
      <c r="AW119" s="20">
        <f t="shared" ref="AW119:AW122" si="269">AS119/(10*AQ113)</f>
        <v>43.80848438</v>
      </c>
      <c r="AX119" s="17">
        <v>48406.0</v>
      </c>
      <c r="AY119" s="19">
        <f>6807424/100</f>
        <v>68074.24</v>
      </c>
      <c r="AZ119" s="17">
        <v>68043.0</v>
      </c>
      <c r="BA119" s="17">
        <v>69178.0</v>
      </c>
      <c r="BB119" s="19">
        <f t="shared" ref="BB119:BB122" si="270">AX119/(40*AQ113)</f>
        <v>18.90859375</v>
      </c>
      <c r="BC119" s="20">
        <f t="shared" ref="BC119:BC122" si="271">AY119/(40*AQ113)</f>
        <v>26.5915</v>
      </c>
      <c r="BD119" s="17">
        <v>86366.0</v>
      </c>
      <c r="BE119" s="19">
        <f>12140784/100</f>
        <v>121407.84</v>
      </c>
      <c r="BF119" s="17">
        <v>121390.0</v>
      </c>
      <c r="BG119" s="17">
        <v>122700.0</v>
      </c>
      <c r="BH119" s="19">
        <f t="shared" ref="BH119:BH122" si="272">BD119/(80*AQ113)</f>
        <v>16.86835938</v>
      </c>
      <c r="BI119" s="20">
        <f t="shared" ref="BI119:BI122" si="273">BE119/(80*AQ113)</f>
        <v>23.71246875</v>
      </c>
      <c r="BJ119" s="3">
        <v>105346.0</v>
      </c>
      <c r="BK119" s="17">
        <f>14809486/100</f>
        <v>148094.86</v>
      </c>
      <c r="BL119" s="17">
        <v>148076.0</v>
      </c>
      <c r="BM119" s="17">
        <v>149481.0</v>
      </c>
      <c r="BN119" s="19">
        <f t="shared" ref="BN119:BN122" si="274">BJ119/(100*AQ113)</f>
        <v>16.4603125</v>
      </c>
      <c r="BO119" s="20">
        <f t="shared" ref="BO119:BO122" si="275">BK119/(100*AQ113)</f>
        <v>23.13982188</v>
      </c>
      <c r="BS119" s="4">
        <f>1-97932/105346</f>
        <v>0.07037761282</v>
      </c>
    </row>
    <row r="120">
      <c r="AO120" s="17" t="s">
        <v>18</v>
      </c>
      <c r="AP120" s="18" t="s">
        <v>17</v>
      </c>
      <c r="AQ120" s="18">
        <v>64.0</v>
      </c>
      <c r="AR120" s="17">
        <v>19943.0</v>
      </c>
      <c r="AS120" s="17">
        <f>2803172/100</f>
        <v>28031.72</v>
      </c>
      <c r="AT120" s="17">
        <v>28018.0</v>
      </c>
      <c r="AU120" s="17">
        <v>28824.0</v>
      </c>
      <c r="AV120" s="19">
        <f t="shared" si="268"/>
        <v>31.1609375</v>
      </c>
      <c r="AW120" s="20">
        <f t="shared" si="269"/>
        <v>43.7995625</v>
      </c>
      <c r="AX120" s="17">
        <v>48479.0</v>
      </c>
      <c r="AY120" s="19">
        <f>6808640/100</f>
        <v>68086.4</v>
      </c>
      <c r="AZ120" s="17">
        <v>68054.0</v>
      </c>
      <c r="BA120" s="17">
        <v>69037.0</v>
      </c>
      <c r="BB120" s="19">
        <f t="shared" si="270"/>
        <v>18.93710938</v>
      </c>
      <c r="BC120" s="20">
        <f t="shared" si="271"/>
        <v>26.59625</v>
      </c>
      <c r="BD120" s="17">
        <v>86519.0</v>
      </c>
      <c r="BE120" s="19">
        <f>12144703/100</f>
        <v>121447.03</v>
      </c>
      <c r="BF120" s="17">
        <v>121430.0</v>
      </c>
      <c r="BG120" s="17">
        <v>122648.0</v>
      </c>
      <c r="BH120" s="19">
        <f t="shared" si="272"/>
        <v>16.89824219</v>
      </c>
      <c r="BI120" s="20">
        <f t="shared" si="273"/>
        <v>23.72012305</v>
      </c>
      <c r="BJ120" s="17">
        <v>105539.0</v>
      </c>
      <c r="BK120" s="17">
        <f>14812888/100</f>
        <v>148128.88</v>
      </c>
      <c r="BL120" s="17">
        <v>148111.0</v>
      </c>
      <c r="BM120" s="17">
        <v>149489.0</v>
      </c>
      <c r="BN120" s="19">
        <f t="shared" si="274"/>
        <v>16.49046875</v>
      </c>
      <c r="BO120" s="20">
        <f t="shared" si="275"/>
        <v>23.1451375</v>
      </c>
      <c r="BS120" s="4">
        <f>1-98121/105346</f>
        <v>0.06858352477</v>
      </c>
    </row>
    <row r="121">
      <c r="AO121" s="17" t="s">
        <v>19</v>
      </c>
      <c r="AP121" s="18" t="s">
        <v>17</v>
      </c>
      <c r="AQ121" s="18">
        <v>128.0</v>
      </c>
      <c r="AR121" s="17">
        <v>20136.0</v>
      </c>
      <c r="AS121" s="19">
        <f>2849167/100</f>
        <v>28491.67</v>
      </c>
      <c r="AT121" s="17">
        <v>28482.0</v>
      </c>
      <c r="AU121" s="17">
        <v>29201.0</v>
      </c>
      <c r="AV121" s="19">
        <f t="shared" si="268"/>
        <v>15.73125</v>
      </c>
      <c r="AW121" s="20">
        <f t="shared" si="269"/>
        <v>22.25911719</v>
      </c>
      <c r="AX121" s="17">
        <v>57816.0</v>
      </c>
      <c r="AY121" s="19">
        <f>8181760/100</f>
        <v>81817.6</v>
      </c>
      <c r="AZ121" s="17">
        <v>81806.0</v>
      </c>
      <c r="BA121" s="17">
        <v>82655.0</v>
      </c>
      <c r="BB121" s="19">
        <f t="shared" si="270"/>
        <v>11.2921875</v>
      </c>
      <c r="BC121" s="20">
        <f t="shared" si="271"/>
        <v>15.98</v>
      </c>
      <c r="BD121" s="17">
        <v>108056.0</v>
      </c>
      <c r="BE121" s="19">
        <f>15291984/100</f>
        <v>152919.84</v>
      </c>
      <c r="BF121" s="17">
        <v>152903.0</v>
      </c>
      <c r="BG121" s="17">
        <v>153965.0</v>
      </c>
      <c r="BH121" s="19">
        <f t="shared" si="272"/>
        <v>10.55234375</v>
      </c>
      <c r="BI121" s="20">
        <f t="shared" si="273"/>
        <v>14.93357813</v>
      </c>
      <c r="BJ121" s="17">
        <v>133176.0</v>
      </c>
      <c r="BK121" s="17">
        <f>18848205/100</f>
        <v>188482.05</v>
      </c>
      <c r="BL121" s="17">
        <v>188462.0</v>
      </c>
      <c r="BM121" s="17">
        <v>189778.0</v>
      </c>
      <c r="BN121" s="19">
        <f t="shared" si="274"/>
        <v>10.404375</v>
      </c>
      <c r="BO121" s="20">
        <f t="shared" si="275"/>
        <v>14.72516016</v>
      </c>
      <c r="BS121" s="4">
        <f>1-124129/133575</f>
        <v>0.07071682575</v>
      </c>
    </row>
    <row r="122">
      <c r="AO122" s="17" t="s">
        <v>20</v>
      </c>
      <c r="AP122" s="18" t="s">
        <v>17</v>
      </c>
      <c r="AQ122" s="18">
        <v>128.0</v>
      </c>
      <c r="AR122" s="17">
        <v>20175.0</v>
      </c>
      <c r="AS122" s="19">
        <f>2844948/100</f>
        <v>28449.48</v>
      </c>
      <c r="AT122" s="17">
        <v>28437.0</v>
      </c>
      <c r="AU122" s="17">
        <v>29231.0</v>
      </c>
      <c r="AV122" s="19">
        <f t="shared" si="268"/>
        <v>15.76171875</v>
      </c>
      <c r="AW122" s="20">
        <f t="shared" si="269"/>
        <v>22.22615625</v>
      </c>
      <c r="AX122" s="17">
        <v>57975.0</v>
      </c>
      <c r="AY122" s="19">
        <f>8168396/100</f>
        <v>81683.96</v>
      </c>
      <c r="AZ122" s="17">
        <v>81671.0</v>
      </c>
      <c r="BA122" s="17">
        <v>82517.0</v>
      </c>
      <c r="BB122" s="19">
        <f t="shared" si="270"/>
        <v>11.32324219</v>
      </c>
      <c r="BC122" s="20">
        <f t="shared" si="271"/>
        <v>15.95389844</v>
      </c>
      <c r="BD122" s="17">
        <v>108375.0</v>
      </c>
      <c r="BE122" s="19">
        <f>15263594/100</f>
        <v>152635.94</v>
      </c>
      <c r="BF122" s="17">
        <v>152618.0</v>
      </c>
      <c r="BG122" s="17">
        <v>153825.0</v>
      </c>
      <c r="BH122" s="19">
        <f t="shared" si="272"/>
        <v>10.58349609</v>
      </c>
      <c r="BI122" s="20">
        <f t="shared" si="273"/>
        <v>14.90585352</v>
      </c>
      <c r="BJ122" s="17">
        <v>133575.0</v>
      </c>
      <c r="BK122" s="19">
        <f>18811437/100</f>
        <v>188114.37</v>
      </c>
      <c r="BL122" s="17">
        <v>188097.0</v>
      </c>
      <c r="BM122" s="17">
        <v>189205.0</v>
      </c>
      <c r="BN122" s="19">
        <f t="shared" si="274"/>
        <v>10.43554688</v>
      </c>
      <c r="BO122" s="20">
        <f t="shared" si="275"/>
        <v>14.69643516</v>
      </c>
      <c r="BS122" s="4">
        <f>1-121213/133575</f>
        <v>0.09254725809</v>
      </c>
    </row>
    <row r="124">
      <c r="AO124" s="17" t="s">
        <v>16</v>
      </c>
      <c r="AP124" s="18" t="s">
        <v>17</v>
      </c>
      <c r="AQ124" s="18">
        <v>64.0</v>
      </c>
      <c r="AR124" s="4"/>
      <c r="AS124" s="4"/>
      <c r="AT124" s="38">
        <f t="shared" ref="AT124:AW124" si="276">1-AT113/AT119</f>
        <v>0.6893377105</v>
      </c>
      <c r="AU124" s="38">
        <f t="shared" si="276"/>
        <v>0.6793482013</v>
      </c>
      <c r="AV124" s="39">
        <f t="shared" si="276"/>
        <v>0.7372804817</v>
      </c>
      <c r="AW124" s="39">
        <f t="shared" si="276"/>
        <v>0.6892111724</v>
      </c>
      <c r="AX124" s="4"/>
      <c r="AY124" s="4"/>
      <c r="AZ124" s="38">
        <f t="shared" ref="AZ124:BC124" si="277">1-AZ113/AZ119</f>
        <v>0.6903428714</v>
      </c>
      <c r="BA124" s="38">
        <f t="shared" si="277"/>
        <v>0.6851744774</v>
      </c>
      <c r="BB124" s="39">
        <f t="shared" si="277"/>
        <v>0.7386274429</v>
      </c>
      <c r="BC124" s="39">
        <f t="shared" si="277"/>
        <v>0.6903559996</v>
      </c>
      <c r="BD124" s="4"/>
      <c r="BE124" s="4"/>
      <c r="BF124" s="38">
        <f t="shared" ref="BF124:BI124" si="278">1-BF113/BF119</f>
        <v>0.690666447</v>
      </c>
      <c r="BG124" s="38">
        <f t="shared" si="278"/>
        <v>0.6872779136</v>
      </c>
      <c r="BH124" s="52">
        <f t="shared" si="278"/>
        <v>0.739110298</v>
      </c>
      <c r="BI124" s="39">
        <f t="shared" si="278"/>
        <v>0.6906260749</v>
      </c>
      <c r="BJ124" s="4"/>
      <c r="BK124" s="4"/>
      <c r="BL124" s="38">
        <f t="shared" ref="BL124:BO124" si="279">1-BL113/BL119</f>
        <v>0.6907128772</v>
      </c>
      <c r="BM124" s="38">
        <f t="shared" si="279"/>
        <v>0.6874786762</v>
      </c>
      <c r="BN124" s="39">
        <f t="shared" si="279"/>
        <v>0.7392212329</v>
      </c>
      <c r="BO124" s="39">
        <f t="shared" si="279"/>
        <v>0.6906696154</v>
      </c>
    </row>
    <row r="125">
      <c r="AO125" s="17" t="s">
        <v>18</v>
      </c>
      <c r="AP125" s="18" t="s">
        <v>17</v>
      </c>
      <c r="AQ125" s="18">
        <v>64.0</v>
      </c>
      <c r="AR125" s="4"/>
      <c r="AS125" s="4"/>
      <c r="AT125" s="38">
        <f t="shared" ref="AT125:AW125" si="280">1-AT114/AT120</f>
        <v>0.6894139482</v>
      </c>
      <c r="AU125" s="38">
        <f t="shared" si="280"/>
        <v>0.6788787122</v>
      </c>
      <c r="AV125" s="39">
        <f t="shared" si="280"/>
        <v>0.7367998797</v>
      </c>
      <c r="AW125" s="39">
        <f t="shared" si="280"/>
        <v>0.6892877069</v>
      </c>
      <c r="AX125" s="4"/>
      <c r="AY125" s="4"/>
      <c r="AZ125" s="38">
        <f t="shared" ref="AZ125:BC125" si="281">1-AZ114/AZ120</f>
        <v>0.6899667911</v>
      </c>
      <c r="BA125" s="38">
        <f t="shared" si="281"/>
        <v>0.6849515477</v>
      </c>
      <c r="BB125" s="39">
        <f t="shared" si="281"/>
        <v>0.7375152128</v>
      </c>
      <c r="BC125" s="39">
        <f t="shared" si="281"/>
        <v>0.6899913933</v>
      </c>
      <c r="BD125" s="4"/>
      <c r="BE125" s="4"/>
      <c r="BF125" s="38">
        <f t="shared" ref="BF125:BI125" si="282">1-BF114/BF120</f>
        <v>0.6902001153</v>
      </c>
      <c r="BG125" s="38">
        <f t="shared" si="282"/>
        <v>0.6877731394</v>
      </c>
      <c r="BH125" s="52">
        <f t="shared" si="282"/>
        <v>0.7378032571</v>
      </c>
      <c r="BI125" s="39">
        <f t="shared" si="282"/>
        <v>0.6901727444</v>
      </c>
      <c r="BJ125" s="4"/>
      <c r="BK125" s="4"/>
      <c r="BL125" s="38">
        <f t="shared" ref="BL125:BO125" si="283">1-BL114/BL120</f>
        <v>0.6902255741</v>
      </c>
      <c r="BM125" s="38">
        <f t="shared" si="283"/>
        <v>0.688465372</v>
      </c>
      <c r="BN125" s="39">
        <f t="shared" si="283"/>
        <v>0.7378694132</v>
      </c>
      <c r="BO125" s="39">
        <f t="shared" si="283"/>
        <v>0.6902019377</v>
      </c>
    </row>
    <row r="126">
      <c r="AO126" s="17" t="s">
        <v>19</v>
      </c>
      <c r="AP126" s="18" t="s">
        <v>17</v>
      </c>
      <c r="AQ126" s="18">
        <v>128.0</v>
      </c>
      <c r="AR126" s="4"/>
      <c r="AS126" s="4"/>
      <c r="AT126" s="38">
        <f t="shared" ref="AT126:AW126" si="284">1-AT115/AT121</f>
        <v>0.6840460642</v>
      </c>
      <c r="AU126" s="38">
        <f t="shared" si="284"/>
        <v>0.6712098901</v>
      </c>
      <c r="AV126" s="39">
        <f t="shared" si="284"/>
        <v>0.7361938816</v>
      </c>
      <c r="AW126" s="39">
        <f t="shared" si="284"/>
        <v>0.6838012654</v>
      </c>
      <c r="AX126" s="4"/>
      <c r="AY126" s="4"/>
      <c r="AZ126" s="38">
        <f t="shared" ref="AZ126:BC126" si="285">1-AZ115/AZ121</f>
        <v>0.6855854094</v>
      </c>
      <c r="BA126" s="38">
        <f t="shared" si="285"/>
        <v>0.6793055472</v>
      </c>
      <c r="BB126" s="39">
        <f t="shared" si="285"/>
        <v>0.7379272174</v>
      </c>
      <c r="BC126" s="39">
        <f t="shared" si="285"/>
        <v>0.6854730523</v>
      </c>
      <c r="BD126" s="4"/>
      <c r="BE126" s="4"/>
      <c r="BF126" s="38">
        <f t="shared" ref="BF126:BI126" si="286">1-BF115/BF121</f>
        <v>0.6859577641</v>
      </c>
      <c r="BG126" s="38">
        <f t="shared" si="286"/>
        <v>0.6818172961</v>
      </c>
      <c r="BH126" s="52">
        <f t="shared" si="286"/>
        <v>0.7383578885</v>
      </c>
      <c r="BI126" s="39">
        <f t="shared" si="286"/>
        <v>0.6858788892</v>
      </c>
      <c r="BJ126" s="4"/>
      <c r="BK126" s="4"/>
      <c r="BL126" s="38">
        <f t="shared" ref="BL126:BO126" si="287">1-BL115/BL121</f>
        <v>0.6859844425</v>
      </c>
      <c r="BM126" s="38">
        <f t="shared" si="287"/>
        <v>0.6820706299</v>
      </c>
      <c r="BN126" s="39">
        <f t="shared" si="287"/>
        <v>0.7384513726</v>
      </c>
      <c r="BO126" s="39">
        <f t="shared" si="287"/>
        <v>0.6859268031</v>
      </c>
    </row>
    <row r="127">
      <c r="AO127" s="17" t="s">
        <v>20</v>
      </c>
      <c r="AP127" s="18" t="s">
        <v>17</v>
      </c>
      <c r="AQ127" s="18">
        <v>128.0</v>
      </c>
      <c r="AR127" s="4"/>
      <c r="AS127" s="4"/>
      <c r="AT127" s="38">
        <f t="shared" ref="AT127:AW127" si="288">1-AT116/AT122</f>
        <v>0.6852340261</v>
      </c>
      <c r="AU127" s="38">
        <f t="shared" si="288"/>
        <v>0.6721631145</v>
      </c>
      <c r="AV127" s="39">
        <f t="shared" si="288"/>
        <v>0.7350185874</v>
      </c>
      <c r="AW127" s="39">
        <f t="shared" si="288"/>
        <v>0.6850701665</v>
      </c>
      <c r="AX127" s="4"/>
      <c r="AY127" s="4"/>
      <c r="AZ127" s="38">
        <f t="shared" ref="AZ127:BC127" si="289">1-AZ116/AZ122</f>
        <v>0.6861186957</v>
      </c>
      <c r="BA127" s="38">
        <f t="shared" si="289"/>
        <v>0.6814959342</v>
      </c>
      <c r="BB127" s="39">
        <f t="shared" si="289"/>
        <v>0.7359896507</v>
      </c>
      <c r="BC127" s="39">
        <f t="shared" si="289"/>
        <v>0.6860661506</v>
      </c>
      <c r="BD127" s="4"/>
      <c r="BE127" s="4"/>
      <c r="BF127" s="38">
        <f t="shared" ref="BF127:BI127" si="290">1-BF116/BF122</f>
        <v>0.6863279561</v>
      </c>
      <c r="BG127" s="38">
        <f t="shared" si="290"/>
        <v>0.6837445149</v>
      </c>
      <c r="BH127" s="52">
        <f t="shared" si="290"/>
        <v>0.7362306805</v>
      </c>
      <c r="BI127" s="39">
        <f t="shared" si="290"/>
        <v>0.6862962943</v>
      </c>
      <c r="BJ127" s="4"/>
      <c r="BK127" s="4"/>
      <c r="BL127" s="38">
        <f t="shared" ref="BL127:BO127" si="291">1-BL116/BL122</f>
        <v>0.6863639505</v>
      </c>
      <c r="BM127" s="38">
        <f t="shared" si="291"/>
        <v>0.6839301287</v>
      </c>
      <c r="BN127" s="39">
        <f t="shared" si="291"/>
        <v>0.7362829871</v>
      </c>
      <c r="BO127" s="39">
        <f t="shared" si="291"/>
        <v>0.6863390075</v>
      </c>
      <c r="BS127" s="37">
        <f>1-132189/133176</f>
        <v>0.007411245269</v>
      </c>
    </row>
    <row r="134">
      <c r="AR134" s="75" t="s">
        <v>67</v>
      </c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7"/>
    </row>
    <row r="135">
      <c r="AR135" s="9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1"/>
    </row>
    <row r="136">
      <c r="AR136" s="55" t="s">
        <v>70</v>
      </c>
      <c r="AS136" s="13"/>
      <c r="AT136" s="13"/>
      <c r="AU136" s="13"/>
      <c r="AV136" s="13"/>
      <c r="AW136" s="14"/>
      <c r="AX136" s="55" t="s">
        <v>71</v>
      </c>
      <c r="AY136" s="13"/>
      <c r="AZ136" s="13"/>
      <c r="BA136" s="13"/>
      <c r="BB136" s="13"/>
      <c r="BC136" s="14"/>
      <c r="BD136" s="55" t="s">
        <v>72</v>
      </c>
      <c r="BE136" s="13"/>
      <c r="BF136" s="13"/>
      <c r="BG136" s="13"/>
      <c r="BH136" s="13"/>
      <c r="BI136" s="14"/>
      <c r="BJ136" s="55" t="s">
        <v>73</v>
      </c>
      <c r="BK136" s="13"/>
      <c r="BL136" s="13"/>
      <c r="BM136" s="13"/>
      <c r="BN136" s="13"/>
      <c r="BO136" s="14"/>
    </row>
    <row r="137">
      <c r="AR137" s="15" t="s">
        <v>10</v>
      </c>
      <c r="AS137" s="15" t="s">
        <v>11</v>
      </c>
      <c r="AT137" s="15" t="s">
        <v>12</v>
      </c>
      <c r="AU137" s="15" t="s">
        <v>13</v>
      </c>
      <c r="AV137" s="15" t="s">
        <v>14</v>
      </c>
      <c r="AW137" s="16" t="s">
        <v>15</v>
      </c>
      <c r="AX137" s="15" t="s">
        <v>10</v>
      </c>
      <c r="AY137" s="15" t="s">
        <v>11</v>
      </c>
      <c r="AZ137" s="15" t="s">
        <v>12</v>
      </c>
      <c r="BA137" s="15" t="s">
        <v>13</v>
      </c>
      <c r="BB137" s="15" t="s">
        <v>14</v>
      </c>
      <c r="BC137" s="16" t="s">
        <v>15</v>
      </c>
      <c r="BD137" s="15" t="s">
        <v>10</v>
      </c>
      <c r="BE137" s="15" t="s">
        <v>11</v>
      </c>
      <c r="BF137" s="15" t="s">
        <v>12</v>
      </c>
      <c r="BG137" s="15" t="s">
        <v>13</v>
      </c>
      <c r="BH137" s="15" t="s">
        <v>14</v>
      </c>
      <c r="BI137" s="16" t="s">
        <v>15</v>
      </c>
      <c r="BJ137" s="15" t="s">
        <v>10</v>
      </c>
      <c r="BK137" s="15" t="s">
        <v>11</v>
      </c>
      <c r="BL137" s="15" t="s">
        <v>12</v>
      </c>
      <c r="BM137" s="15" t="s">
        <v>13</v>
      </c>
      <c r="BN137" s="15" t="s">
        <v>14</v>
      </c>
      <c r="BO137" s="16" t="s">
        <v>15</v>
      </c>
    </row>
    <row r="138">
      <c r="AO138" s="17" t="s">
        <v>16</v>
      </c>
      <c r="AP138" s="18" t="s">
        <v>17</v>
      </c>
      <c r="AQ138" s="18">
        <v>64.0</v>
      </c>
      <c r="AR138" s="61">
        <v>8834.0</v>
      </c>
      <c r="AS138" s="62">
        <f>1445828/100</f>
        <v>14458.28</v>
      </c>
      <c r="AT138" s="61">
        <v>14446.0</v>
      </c>
      <c r="AU138" s="61">
        <v>15236.0</v>
      </c>
      <c r="AV138" s="19">
        <f t="shared" ref="AV138:AV141" si="292">AR138/(10*AQ138)</f>
        <v>13.803125</v>
      </c>
      <c r="AW138" s="20">
        <f t="shared" ref="AW138:AW141" si="293">AS138/(10*AQ138)</f>
        <v>22.5910625</v>
      </c>
      <c r="AX138" s="61">
        <v>21380.0</v>
      </c>
      <c r="AY138" s="62">
        <f>3488699/100</f>
        <v>34886.99</v>
      </c>
      <c r="AZ138" s="61">
        <v>34871.0</v>
      </c>
      <c r="BA138" s="61">
        <v>35887.0</v>
      </c>
      <c r="BB138" s="19">
        <f t="shared" ref="BB138:BB141" si="294">AX138/(40*AQ138)</f>
        <v>8.3515625</v>
      </c>
      <c r="BC138" s="20">
        <f t="shared" ref="BC138:BC141" si="295">AY138/(40*AQ138)</f>
        <v>13.62773047</v>
      </c>
      <c r="BD138" s="64">
        <v>38100.0</v>
      </c>
      <c r="BE138" s="58">
        <f>6217303/100</f>
        <v>62173.03</v>
      </c>
      <c r="BF138" s="64">
        <v>62154.0</v>
      </c>
      <c r="BG138" s="64">
        <v>63386.0</v>
      </c>
      <c r="BH138" s="19">
        <f t="shared" ref="BH138:BH141" si="296">BD138/(80*AQ138)</f>
        <v>7.44140625</v>
      </c>
      <c r="BI138" s="20">
        <f t="shared" ref="BI138:BI141" si="297">BE138/(80*AQ138)</f>
        <v>12.14316992</v>
      </c>
      <c r="BJ138" s="64">
        <v>46460.0</v>
      </c>
      <c r="BK138" s="58">
        <f>7581051/100</f>
        <v>75810.51</v>
      </c>
      <c r="BL138" s="64">
        <v>75789.0</v>
      </c>
      <c r="BM138" s="64">
        <v>77074.0</v>
      </c>
      <c r="BN138" s="19">
        <f t="shared" ref="BN138:BN141" si="298">BJ138/(100*AQ138)</f>
        <v>7.259375</v>
      </c>
      <c r="BO138" s="20">
        <f t="shared" ref="BO138:BO141" si="299">BK138/(100*AQ138)</f>
        <v>11.84539219</v>
      </c>
    </row>
    <row r="139">
      <c r="AO139" s="17" t="s">
        <v>18</v>
      </c>
      <c r="AP139" s="18" t="s">
        <v>17</v>
      </c>
      <c r="AQ139" s="18">
        <v>64.0</v>
      </c>
      <c r="AR139" s="61">
        <v>8854.0</v>
      </c>
      <c r="AS139" s="62">
        <f>1446311/100</f>
        <v>14463.11</v>
      </c>
      <c r="AT139" s="61">
        <v>14455.0</v>
      </c>
      <c r="AU139" s="61">
        <v>15130.0</v>
      </c>
      <c r="AV139" s="19">
        <f t="shared" si="292"/>
        <v>13.834375</v>
      </c>
      <c r="AW139" s="20">
        <f t="shared" si="293"/>
        <v>22.59860938</v>
      </c>
      <c r="AX139" s="61">
        <v>21460.0</v>
      </c>
      <c r="AY139" s="62">
        <f>3490727/100</f>
        <v>34907.27</v>
      </c>
      <c r="AZ139" s="61">
        <v>34896.0</v>
      </c>
      <c r="BA139" s="61">
        <v>35778.0</v>
      </c>
      <c r="BB139" s="19">
        <f t="shared" si="294"/>
        <v>8.3828125</v>
      </c>
      <c r="BC139" s="20">
        <f t="shared" si="295"/>
        <v>13.63565234</v>
      </c>
      <c r="BD139" s="64">
        <v>38260.0</v>
      </c>
      <c r="BE139" s="58">
        <f>6218457/100</f>
        <v>62184.57</v>
      </c>
      <c r="BF139" s="64">
        <v>62171.0</v>
      </c>
      <c r="BG139" s="64">
        <v>63234.0</v>
      </c>
      <c r="BH139" s="19">
        <f t="shared" si="296"/>
        <v>7.47265625</v>
      </c>
      <c r="BI139" s="20">
        <f t="shared" si="297"/>
        <v>12.14542383</v>
      </c>
      <c r="BJ139" s="64">
        <v>46660.0</v>
      </c>
      <c r="BK139" s="58">
        <f>7583060/100</f>
        <v>75830.6</v>
      </c>
      <c r="BL139" s="64">
        <v>75814.0</v>
      </c>
      <c r="BM139" s="64">
        <v>76960.0</v>
      </c>
      <c r="BN139" s="19">
        <f t="shared" si="298"/>
        <v>7.290625</v>
      </c>
      <c r="BO139" s="20">
        <f t="shared" si="299"/>
        <v>11.84853125</v>
      </c>
    </row>
    <row r="140">
      <c r="AO140" s="17" t="s">
        <v>19</v>
      </c>
      <c r="AP140" s="18" t="s">
        <v>17</v>
      </c>
      <c r="AQ140" s="18">
        <v>128.0</v>
      </c>
      <c r="AR140" s="61">
        <v>8975.0</v>
      </c>
      <c r="AS140" s="62">
        <f>1485621/100</f>
        <v>14856.21</v>
      </c>
      <c r="AT140" s="61">
        <v>14846.0</v>
      </c>
      <c r="AU140" s="61">
        <v>15460.0</v>
      </c>
      <c r="AV140" s="19">
        <f t="shared" si="292"/>
        <v>7.01171875</v>
      </c>
      <c r="AW140" s="20">
        <f t="shared" si="293"/>
        <v>11.60641406</v>
      </c>
      <c r="AX140" s="61">
        <v>25685.0</v>
      </c>
      <c r="AY140" s="62">
        <f>4246964/100</f>
        <v>42469.64</v>
      </c>
      <c r="AZ140" s="61">
        <v>42458.0</v>
      </c>
      <c r="BA140" s="61">
        <v>43242.0</v>
      </c>
      <c r="BB140" s="19">
        <f t="shared" si="294"/>
        <v>5.016601563</v>
      </c>
      <c r="BC140" s="20">
        <f t="shared" si="295"/>
        <v>8.294851563</v>
      </c>
      <c r="BD140" s="64">
        <v>47965.0</v>
      </c>
      <c r="BE140" s="58">
        <f>7931238/100</f>
        <v>79312.38</v>
      </c>
      <c r="BF140" s="64">
        <v>79298.0</v>
      </c>
      <c r="BG140" s="64">
        <v>80313.0</v>
      </c>
      <c r="BH140" s="19">
        <f t="shared" si="296"/>
        <v>4.684082031</v>
      </c>
      <c r="BI140" s="20">
        <f t="shared" si="297"/>
        <v>7.745349609</v>
      </c>
      <c r="BJ140" s="64">
        <v>59105.0</v>
      </c>
      <c r="BK140" s="58">
        <f>9777483/100</f>
        <v>97774.83</v>
      </c>
      <c r="BL140" s="64">
        <v>97726.0</v>
      </c>
      <c r="BM140" s="64">
        <v>98841.0</v>
      </c>
      <c r="BN140" s="19">
        <f t="shared" si="298"/>
        <v>4.617578125</v>
      </c>
      <c r="BO140" s="20">
        <f t="shared" si="299"/>
        <v>7.638658594</v>
      </c>
    </row>
    <row r="141">
      <c r="AO141" s="17" t="s">
        <v>20</v>
      </c>
      <c r="AP141" s="18" t="s">
        <v>17</v>
      </c>
      <c r="AQ141" s="18">
        <v>128.0</v>
      </c>
      <c r="AR141" s="61">
        <v>9013.0</v>
      </c>
      <c r="AS141" s="62">
        <f>1485884/100</f>
        <v>14858.84</v>
      </c>
      <c r="AT141" s="61">
        <v>14849.0</v>
      </c>
      <c r="AU141" s="61">
        <v>15534.0</v>
      </c>
      <c r="AV141" s="19">
        <f t="shared" si="292"/>
        <v>7.04140625</v>
      </c>
      <c r="AW141" s="20">
        <f t="shared" si="293"/>
        <v>11.60846875</v>
      </c>
      <c r="AX141" s="61">
        <v>25843.0</v>
      </c>
      <c r="AY141" s="62">
        <f>4245479/100</f>
        <v>42454.79</v>
      </c>
      <c r="AZ141" s="61">
        <v>42444.0</v>
      </c>
      <c r="BA141" s="61">
        <v>43262.0</v>
      </c>
      <c r="BB141" s="19">
        <f t="shared" si="294"/>
        <v>5.047460938</v>
      </c>
      <c r="BC141" s="20">
        <f t="shared" si="295"/>
        <v>8.291951172</v>
      </c>
      <c r="BD141" s="64">
        <v>48283.0</v>
      </c>
      <c r="BE141" s="58">
        <f>7929977/100</f>
        <v>79299.77</v>
      </c>
      <c r="BF141" s="64">
        <v>79287.0</v>
      </c>
      <c r="BG141" s="64">
        <v>80339.0</v>
      </c>
      <c r="BH141" s="19">
        <f t="shared" si="296"/>
        <v>4.715136719</v>
      </c>
      <c r="BI141" s="20">
        <f t="shared" si="297"/>
        <v>7.744118164</v>
      </c>
      <c r="BJ141" s="64">
        <v>59503.0</v>
      </c>
      <c r="BK141" s="58">
        <f>9779406/100</f>
        <v>97794.06</v>
      </c>
      <c r="BL141" s="64">
        <v>97760.0</v>
      </c>
      <c r="BM141" s="64">
        <v>98956.0</v>
      </c>
      <c r="BN141" s="19">
        <f t="shared" si="298"/>
        <v>4.648671875</v>
      </c>
      <c r="BO141" s="20">
        <f t="shared" si="299"/>
        <v>7.640160938</v>
      </c>
    </row>
    <row r="142">
      <c r="AR142" s="23" t="s">
        <v>26</v>
      </c>
      <c r="AS142" s="13"/>
      <c r="AT142" s="13"/>
      <c r="AU142" s="13"/>
      <c r="AV142" s="13"/>
      <c r="AW142" s="14"/>
      <c r="AX142" s="23" t="s">
        <v>27</v>
      </c>
      <c r="AY142" s="13"/>
      <c r="AZ142" s="13"/>
      <c r="BA142" s="13"/>
      <c r="BB142" s="13"/>
      <c r="BC142" s="14"/>
      <c r="BD142" s="23" t="s">
        <v>28</v>
      </c>
      <c r="BE142" s="13"/>
      <c r="BF142" s="13"/>
      <c r="BG142" s="13"/>
      <c r="BH142" s="13"/>
      <c r="BI142" s="14"/>
      <c r="BJ142" s="23" t="s">
        <v>29</v>
      </c>
      <c r="BK142" s="13"/>
      <c r="BL142" s="13"/>
      <c r="BM142" s="13"/>
      <c r="BN142" s="13"/>
      <c r="BO142" s="14"/>
    </row>
    <row r="143">
      <c r="AR143" s="15" t="s">
        <v>10</v>
      </c>
      <c r="AS143" s="15" t="s">
        <v>11</v>
      </c>
      <c r="AT143" s="15" t="s">
        <v>12</v>
      </c>
      <c r="AU143" s="15" t="s">
        <v>13</v>
      </c>
      <c r="AV143" s="15" t="s">
        <v>14</v>
      </c>
      <c r="AW143" s="16" t="s">
        <v>15</v>
      </c>
      <c r="AX143" s="15" t="s">
        <v>10</v>
      </c>
      <c r="AY143" s="15" t="s">
        <v>11</v>
      </c>
      <c r="AZ143" s="15" t="s">
        <v>12</v>
      </c>
      <c r="BA143" s="15" t="s">
        <v>13</v>
      </c>
      <c r="BB143" s="15" t="s">
        <v>14</v>
      </c>
      <c r="BC143" s="16" t="s">
        <v>15</v>
      </c>
      <c r="BD143" s="15" t="s">
        <v>10</v>
      </c>
      <c r="BE143" s="15" t="s">
        <v>11</v>
      </c>
      <c r="BF143" s="15" t="s">
        <v>12</v>
      </c>
      <c r="BG143" s="15" t="s">
        <v>13</v>
      </c>
      <c r="BH143" s="15" t="s">
        <v>14</v>
      </c>
      <c r="BI143" s="16" t="s">
        <v>15</v>
      </c>
      <c r="BJ143" s="15" t="s">
        <v>10</v>
      </c>
      <c r="BK143" s="15" t="s">
        <v>11</v>
      </c>
      <c r="BL143" s="15" t="s">
        <v>12</v>
      </c>
      <c r="BM143" s="15" t="s">
        <v>13</v>
      </c>
      <c r="BN143" s="15" t="s">
        <v>14</v>
      </c>
      <c r="BO143" s="16" t="s">
        <v>15</v>
      </c>
    </row>
    <row r="144">
      <c r="AO144" s="17" t="s">
        <v>16</v>
      </c>
      <c r="AP144" s="18" t="s">
        <v>17</v>
      </c>
      <c r="AQ144" s="18">
        <v>64.0</v>
      </c>
      <c r="AR144" s="17">
        <v>18857.0</v>
      </c>
      <c r="AS144" s="19">
        <f>2123546/100</f>
        <v>21235.46</v>
      </c>
      <c r="AT144" s="17">
        <v>21218.0</v>
      </c>
      <c r="AU144" s="17">
        <v>22316.0</v>
      </c>
      <c r="AV144" s="19">
        <f t="shared" ref="AV144:AV147" si="300">AR144/(10*AQ138)</f>
        <v>29.4640625</v>
      </c>
      <c r="AW144" s="20">
        <f t="shared" ref="AW144:AW147" si="301">AS144/(10*AQ138)</f>
        <v>33.18040625</v>
      </c>
      <c r="AX144" s="17">
        <v>45713.0</v>
      </c>
      <c r="AY144" s="19">
        <f>5139004/100</f>
        <v>51390.04</v>
      </c>
      <c r="AZ144" s="17">
        <v>51371.0</v>
      </c>
      <c r="BA144" s="17">
        <v>52663.0</v>
      </c>
      <c r="BB144" s="19">
        <f t="shared" ref="BB144:BB147" si="302">AX144/(40*AQ138)</f>
        <v>17.85664063</v>
      </c>
      <c r="BC144" s="20">
        <f t="shared" ref="BC144:BC147" si="303">AY144/(40*AQ138)</f>
        <v>20.07423438</v>
      </c>
      <c r="BD144" s="17">
        <v>81513.0</v>
      </c>
      <c r="BE144" s="19">
        <f>9160181/100</f>
        <v>91601.81</v>
      </c>
      <c r="BF144" s="17">
        <v>91581.0</v>
      </c>
      <c r="BG144" s="17">
        <v>93079.0</v>
      </c>
      <c r="BH144" s="19">
        <f t="shared" ref="BH144:BH147" si="304">BD144/(80*AQ138)</f>
        <v>15.92050781</v>
      </c>
      <c r="BI144" s="20">
        <f t="shared" ref="BI144:BI147" si="305">BE144/(80*AQ138)</f>
        <v>17.89097852</v>
      </c>
      <c r="BJ144" s="3">
        <v>99413.0</v>
      </c>
      <c r="BK144" s="17">
        <f>11174519/100</f>
        <v>111745.19</v>
      </c>
      <c r="BL144" s="17">
        <v>111697.0</v>
      </c>
      <c r="BM144" s="17">
        <v>113320.0</v>
      </c>
      <c r="BN144" s="19">
        <f t="shared" ref="BN144:BN147" si="306">BJ144/(100*AQ138)</f>
        <v>15.53328125</v>
      </c>
      <c r="BO144" s="20">
        <f t="shared" ref="BO144:BO147" si="307">BK144/(100*AQ138)</f>
        <v>17.46018594</v>
      </c>
    </row>
    <row r="145">
      <c r="AO145" s="17" t="s">
        <v>18</v>
      </c>
      <c r="AP145" s="18" t="s">
        <v>17</v>
      </c>
      <c r="AQ145" s="18">
        <v>64.0</v>
      </c>
      <c r="AR145" s="17">
        <v>18877.0</v>
      </c>
      <c r="AS145" s="17">
        <f>2125489/100</f>
        <v>21254.89</v>
      </c>
      <c r="AT145" s="17">
        <v>21242.0</v>
      </c>
      <c r="AU145" s="17">
        <v>22103.0</v>
      </c>
      <c r="AV145" s="19">
        <f t="shared" si="300"/>
        <v>29.4953125</v>
      </c>
      <c r="AW145" s="20">
        <f t="shared" si="301"/>
        <v>33.21076563</v>
      </c>
      <c r="AX145" s="17">
        <v>45793.0</v>
      </c>
      <c r="AY145" s="19">
        <f>5142432/100</f>
        <v>51424.32</v>
      </c>
      <c r="AZ145" s="17">
        <v>51408.0</v>
      </c>
      <c r="BA145" s="17">
        <v>52560.0</v>
      </c>
      <c r="BB145" s="19">
        <f t="shared" si="302"/>
        <v>17.88789063</v>
      </c>
      <c r="BC145" s="20">
        <f t="shared" si="303"/>
        <v>20.087625</v>
      </c>
      <c r="BD145" s="17">
        <v>81673.0</v>
      </c>
      <c r="BE145" s="19">
        <f>9163681/100</f>
        <v>91636.81</v>
      </c>
      <c r="BF145" s="17">
        <v>91618.0</v>
      </c>
      <c r="BG145" s="17">
        <v>92992.0</v>
      </c>
      <c r="BH145" s="19">
        <f t="shared" si="304"/>
        <v>15.95175781</v>
      </c>
      <c r="BI145" s="20">
        <f t="shared" si="305"/>
        <v>17.89781445</v>
      </c>
      <c r="BJ145" s="17">
        <v>99613.0</v>
      </c>
      <c r="BK145" s="17">
        <f>11177262/100</f>
        <v>111772.62</v>
      </c>
      <c r="BL145" s="17">
        <v>111729.0</v>
      </c>
      <c r="BM145" s="17">
        <v>113179.0</v>
      </c>
      <c r="BN145" s="19">
        <f t="shared" si="306"/>
        <v>15.56453125</v>
      </c>
      <c r="BO145" s="20">
        <f t="shared" si="307"/>
        <v>17.46447188</v>
      </c>
    </row>
    <row r="146">
      <c r="AO146" s="17" t="s">
        <v>19</v>
      </c>
      <c r="AP146" s="18" t="s">
        <v>17</v>
      </c>
      <c r="AQ146" s="18">
        <v>128.0</v>
      </c>
      <c r="AR146" s="17">
        <v>19170.0</v>
      </c>
      <c r="AS146" s="19">
        <f>2170139/100</f>
        <v>21701.39</v>
      </c>
      <c r="AT146" s="17">
        <v>21691.0</v>
      </c>
      <c r="AU146" s="17">
        <v>22397.0</v>
      </c>
      <c r="AV146" s="19">
        <f t="shared" si="300"/>
        <v>14.9765625</v>
      </c>
      <c r="AW146" s="20">
        <f t="shared" si="301"/>
        <v>16.95421094</v>
      </c>
      <c r="AX146" s="17">
        <v>54990.0</v>
      </c>
      <c r="AY146" s="19">
        <f>6221904/100</f>
        <v>62219.04</v>
      </c>
      <c r="AZ146" s="17">
        <v>62207.0</v>
      </c>
      <c r="BA146" s="17">
        <v>63069.0</v>
      </c>
      <c r="BB146" s="19">
        <f t="shared" si="302"/>
        <v>10.74023438</v>
      </c>
      <c r="BC146" s="20">
        <f t="shared" si="303"/>
        <v>12.15215625</v>
      </c>
      <c r="BD146" s="17">
        <v>102750.0</v>
      </c>
      <c r="BE146" s="19">
        <f>11624018/100</f>
        <v>116240.18</v>
      </c>
      <c r="BF146" s="17">
        <v>116226.0</v>
      </c>
      <c r="BG146" s="17">
        <v>117238.0</v>
      </c>
      <c r="BH146" s="19">
        <f t="shared" si="304"/>
        <v>10.03417969</v>
      </c>
      <c r="BI146" s="20">
        <f t="shared" si="305"/>
        <v>11.35158008</v>
      </c>
      <c r="BJ146" s="17">
        <v>126630.0</v>
      </c>
      <c r="BK146" s="17">
        <f>14332621/100</f>
        <v>143326.21</v>
      </c>
      <c r="BL146" s="17">
        <v>143253.0</v>
      </c>
      <c r="BM146" s="17">
        <v>144520.0</v>
      </c>
      <c r="BN146" s="19">
        <f t="shared" si="306"/>
        <v>9.89296875</v>
      </c>
      <c r="BO146" s="20">
        <f t="shared" si="307"/>
        <v>11.19736016</v>
      </c>
    </row>
    <row r="147">
      <c r="AO147" s="17" t="s">
        <v>20</v>
      </c>
      <c r="AP147" s="18" t="s">
        <v>17</v>
      </c>
      <c r="AQ147" s="18">
        <v>128.0</v>
      </c>
      <c r="AR147" s="17">
        <v>19208.0</v>
      </c>
      <c r="AS147" s="19">
        <f>2171155/100</f>
        <v>21711.55</v>
      </c>
      <c r="AT147" s="17">
        <v>21701.0</v>
      </c>
      <c r="AU147" s="17">
        <v>22441.0</v>
      </c>
      <c r="AV147" s="19">
        <f t="shared" si="300"/>
        <v>15.00625</v>
      </c>
      <c r="AW147" s="20">
        <f t="shared" si="301"/>
        <v>16.96214844</v>
      </c>
      <c r="AX147" s="17">
        <v>55148.0</v>
      </c>
      <c r="AY147" s="19">
        <f>6222730/100</f>
        <v>62227.3</v>
      </c>
      <c r="AZ147" s="17">
        <v>62215.0</v>
      </c>
      <c r="BA147" s="17">
        <v>63135.0</v>
      </c>
      <c r="BB147" s="19">
        <f t="shared" si="302"/>
        <v>10.77109375</v>
      </c>
      <c r="BC147" s="20">
        <f t="shared" si="303"/>
        <v>12.15376953</v>
      </c>
      <c r="BD147" s="17">
        <v>103068.0</v>
      </c>
      <c r="BE147" s="19">
        <f>11624668/100</f>
        <v>116246.68</v>
      </c>
      <c r="BF147" s="17">
        <v>116231.0</v>
      </c>
      <c r="BG147" s="17">
        <v>117425.0</v>
      </c>
      <c r="BH147" s="19">
        <f t="shared" si="304"/>
        <v>10.06523438</v>
      </c>
      <c r="BI147" s="20">
        <f t="shared" si="305"/>
        <v>11.35221484</v>
      </c>
      <c r="BJ147" s="17">
        <v>127028.0</v>
      </c>
      <c r="BK147" s="19">
        <f>14332965/100</f>
        <v>143329.65</v>
      </c>
      <c r="BL147" s="17">
        <v>143274.0</v>
      </c>
      <c r="BM147" s="17">
        <v>144713.0</v>
      </c>
      <c r="BN147" s="19">
        <f t="shared" si="306"/>
        <v>9.9240625</v>
      </c>
      <c r="BO147" s="20">
        <f t="shared" si="307"/>
        <v>11.19762891</v>
      </c>
    </row>
    <row r="149">
      <c r="AO149" s="17" t="s">
        <v>16</v>
      </c>
      <c r="AP149" s="18" t="s">
        <v>17</v>
      </c>
      <c r="AQ149" s="18">
        <v>64.0</v>
      </c>
      <c r="AR149" s="4"/>
      <c r="AS149" s="4"/>
      <c r="AT149" s="38">
        <f t="shared" ref="AT149:AW149" si="308">1-AT138/AT144</f>
        <v>0.3191629748</v>
      </c>
      <c r="AU149" s="38">
        <f t="shared" si="308"/>
        <v>0.3172611579</v>
      </c>
      <c r="AV149" s="39">
        <f t="shared" si="308"/>
        <v>0.531526754</v>
      </c>
      <c r="AW149" s="39">
        <f t="shared" si="308"/>
        <v>0.3191444876</v>
      </c>
      <c r="AX149" s="4"/>
      <c r="AY149" s="4"/>
      <c r="AZ149" s="38">
        <f t="shared" ref="AZ149:BC149" si="309">1-AZ138/AZ144</f>
        <v>0.3211928909</v>
      </c>
      <c r="BA149" s="38">
        <f t="shared" si="309"/>
        <v>0.3185538234</v>
      </c>
      <c r="BB149" s="39">
        <f t="shared" si="309"/>
        <v>0.5322993459</v>
      </c>
      <c r="BC149" s="39">
        <f t="shared" si="309"/>
        <v>0.321133239</v>
      </c>
      <c r="BD149" s="4"/>
      <c r="BE149" s="4"/>
      <c r="BF149" s="38">
        <f t="shared" ref="BF149:BI149" si="310">1-BF138/BF144</f>
        <v>0.3213221083</v>
      </c>
      <c r="BG149" s="38">
        <f t="shared" si="310"/>
        <v>0.3190085841</v>
      </c>
      <c r="BH149" s="39">
        <f t="shared" si="310"/>
        <v>0.5325898936</v>
      </c>
      <c r="BI149" s="39">
        <f t="shared" si="310"/>
        <v>0.3212685426</v>
      </c>
      <c r="BJ149" s="4"/>
      <c r="BK149" s="4"/>
      <c r="BL149" s="38">
        <f t="shared" ref="BL149:BO149" si="311">1-BL138/BL144</f>
        <v>0.3214768526</v>
      </c>
      <c r="BM149" s="38">
        <f t="shared" si="311"/>
        <v>0.3198552771</v>
      </c>
      <c r="BN149" s="39">
        <f t="shared" si="311"/>
        <v>0.5326566948</v>
      </c>
      <c r="BO149" s="39">
        <f t="shared" si="311"/>
        <v>0.3215769735</v>
      </c>
    </row>
    <row r="150">
      <c r="AO150" s="17" t="s">
        <v>18</v>
      </c>
      <c r="AP150" s="18" t="s">
        <v>17</v>
      </c>
      <c r="AQ150" s="18">
        <v>64.0</v>
      </c>
      <c r="AR150" s="4"/>
      <c r="AS150" s="4"/>
      <c r="AT150" s="38">
        <f t="shared" ref="AT150:AW150" si="312">1-AT139/AT145</f>
        <v>0.3195085209</v>
      </c>
      <c r="AU150" s="38">
        <f t="shared" si="312"/>
        <v>0.315477537</v>
      </c>
      <c r="AV150" s="39">
        <f t="shared" si="312"/>
        <v>0.5309636065</v>
      </c>
      <c r="AW150" s="39">
        <f t="shared" si="312"/>
        <v>0.3195396448</v>
      </c>
      <c r="AX150" s="4"/>
      <c r="AY150" s="4"/>
      <c r="AZ150" s="38">
        <f t="shared" ref="AZ150:BC150" si="313">1-AZ139/AZ145</f>
        <v>0.3211951447</v>
      </c>
      <c r="BA150" s="38">
        <f t="shared" si="313"/>
        <v>0.3192922374</v>
      </c>
      <c r="BB150" s="39">
        <f t="shared" si="313"/>
        <v>0.5313694233</v>
      </c>
      <c r="BC150" s="39">
        <f t="shared" si="313"/>
        <v>0.3211914129</v>
      </c>
      <c r="BD150" s="4"/>
      <c r="BE150" s="4"/>
      <c r="BF150" s="38">
        <f t="shared" ref="BF150:BI150" si="314">1-BF139/BF145</f>
        <v>0.3214106398</v>
      </c>
      <c r="BG150" s="38">
        <f t="shared" si="314"/>
        <v>0.320006022</v>
      </c>
      <c r="BH150" s="39">
        <f t="shared" si="314"/>
        <v>0.5315465331</v>
      </c>
      <c r="BI150" s="39">
        <f t="shared" si="314"/>
        <v>0.3214018471</v>
      </c>
      <c r="BJ150" s="4"/>
      <c r="BK150" s="4"/>
      <c r="BL150" s="38">
        <f t="shared" ref="BL150:BO150" si="315">1-BL139/BL145</f>
        <v>0.3214474308</v>
      </c>
      <c r="BM150" s="38">
        <f t="shared" si="315"/>
        <v>0.3200151972</v>
      </c>
      <c r="BN150" s="39">
        <f t="shared" si="315"/>
        <v>0.5315872426</v>
      </c>
      <c r="BO150" s="39">
        <f t="shared" si="315"/>
        <v>0.3215637246</v>
      </c>
    </row>
    <row r="151">
      <c r="AO151" s="17" t="s">
        <v>19</v>
      </c>
      <c r="AP151" s="18" t="s">
        <v>17</v>
      </c>
      <c r="AQ151" s="18">
        <v>128.0</v>
      </c>
      <c r="AR151" s="4"/>
      <c r="AS151" s="4"/>
      <c r="AT151" s="38">
        <f t="shared" ref="AT151:AW151" si="316">1-AT140/AT146</f>
        <v>0.315568669</v>
      </c>
      <c r="AU151" s="38">
        <f t="shared" si="316"/>
        <v>0.3097289816</v>
      </c>
      <c r="AV151" s="39">
        <f t="shared" si="316"/>
        <v>0.5318205529</v>
      </c>
      <c r="AW151" s="39">
        <f t="shared" si="316"/>
        <v>0.3154258783</v>
      </c>
      <c r="AX151" s="4"/>
      <c r="AY151" s="4"/>
      <c r="AZ151" s="38">
        <f t="shared" ref="AZ151:BC151" si="317">1-AZ140/AZ146</f>
        <v>0.3174723102</v>
      </c>
      <c r="BA151" s="38">
        <f t="shared" si="317"/>
        <v>0.3143699757</v>
      </c>
      <c r="BB151" s="39">
        <f t="shared" si="317"/>
        <v>0.5329150755</v>
      </c>
      <c r="BC151" s="39">
        <f t="shared" si="317"/>
        <v>0.3174173051</v>
      </c>
      <c r="BD151" s="4"/>
      <c r="BE151" s="4"/>
      <c r="BF151" s="38">
        <f t="shared" ref="BF151:BI151" si="318">1-BF140/BF146</f>
        <v>0.3177258101</v>
      </c>
      <c r="BG151" s="38">
        <f t="shared" si="318"/>
        <v>0.3149576076</v>
      </c>
      <c r="BH151" s="39">
        <f t="shared" si="318"/>
        <v>0.5331873479</v>
      </c>
      <c r="BI151" s="39">
        <f t="shared" si="318"/>
        <v>0.3176853305</v>
      </c>
      <c r="BJ151" s="4"/>
      <c r="BK151" s="4"/>
      <c r="BL151" s="38">
        <f t="shared" ref="BL151:BO151" si="319">1-BL140/BL146</f>
        <v>0.3178083531</v>
      </c>
      <c r="BM151" s="38">
        <f t="shared" si="319"/>
        <v>0.3160738998</v>
      </c>
      <c r="BN151" s="39">
        <f t="shared" si="319"/>
        <v>0.5332464661</v>
      </c>
      <c r="BO151" s="39">
        <f t="shared" si="319"/>
        <v>0.3178161203</v>
      </c>
    </row>
    <row r="152">
      <c r="AO152" s="17" t="s">
        <v>20</v>
      </c>
      <c r="AP152" s="18" t="s">
        <v>17</v>
      </c>
      <c r="AQ152" s="18">
        <v>128.0</v>
      </c>
      <c r="AR152" s="4"/>
      <c r="AS152" s="4"/>
      <c r="AT152" s="38">
        <f t="shared" ref="AT152:AW152" si="320">1-AT141/AT147</f>
        <v>0.3157458182</v>
      </c>
      <c r="AU152" s="38">
        <f t="shared" si="320"/>
        <v>0.3077848581</v>
      </c>
      <c r="AV152" s="39">
        <f t="shared" si="320"/>
        <v>0.5307684298</v>
      </c>
      <c r="AW152" s="39">
        <f t="shared" si="320"/>
        <v>0.3156250936</v>
      </c>
      <c r="AX152" s="4"/>
      <c r="AY152" s="4"/>
      <c r="AZ152" s="38">
        <f t="shared" ref="AZ152:BC152" si="321">1-AZ141/AZ147</f>
        <v>0.3177851001</v>
      </c>
      <c r="BA152" s="38">
        <f t="shared" si="321"/>
        <v>0.3147699374</v>
      </c>
      <c r="BB152" s="39">
        <f t="shared" si="321"/>
        <v>0.5313882643</v>
      </c>
      <c r="BC152" s="39">
        <f t="shared" si="321"/>
        <v>0.3177465518</v>
      </c>
      <c r="BD152" s="4"/>
      <c r="BE152" s="4"/>
      <c r="BF152" s="38">
        <f t="shared" ref="BF152:BI152" si="322">1-BF141/BF147</f>
        <v>0.3178497991</v>
      </c>
      <c r="BG152" s="38">
        <f t="shared" si="322"/>
        <v>0.3158271237</v>
      </c>
      <c r="BH152" s="39">
        <f t="shared" si="322"/>
        <v>0.5315422828</v>
      </c>
      <c r="BI152" s="39">
        <f t="shared" si="322"/>
        <v>0.3178319587</v>
      </c>
      <c r="BJ152" s="4"/>
      <c r="BK152" s="4"/>
      <c r="BL152" s="38">
        <f t="shared" ref="BL152:BO152" si="323">1-BL141/BL147</f>
        <v>0.3176710359</v>
      </c>
      <c r="BM152" s="38">
        <f t="shared" si="323"/>
        <v>0.3161913581</v>
      </c>
      <c r="BN152" s="39">
        <f t="shared" si="323"/>
        <v>0.5315757156</v>
      </c>
      <c r="BO152" s="39">
        <f t="shared" si="323"/>
        <v>0.3176983269</v>
      </c>
    </row>
    <row r="165">
      <c r="AR165" s="76" t="s">
        <v>79</v>
      </c>
      <c r="AS165" s="13"/>
      <c r="AT165" s="13"/>
      <c r="AU165" s="13"/>
      <c r="AV165" s="13"/>
      <c r="AW165" s="14"/>
    </row>
    <row r="166">
      <c r="AR166" s="77" t="s">
        <v>67</v>
      </c>
      <c r="AS166" s="14"/>
      <c r="AT166" s="78" t="s">
        <v>58</v>
      </c>
      <c r="AU166" s="14"/>
      <c r="AV166" s="79" t="s">
        <v>0</v>
      </c>
      <c r="AW166" s="14"/>
    </row>
    <row r="167">
      <c r="AR167" s="80" t="s">
        <v>80</v>
      </c>
      <c r="AS167" s="81" t="s">
        <v>81</v>
      </c>
      <c r="AT167" s="80" t="s">
        <v>80</v>
      </c>
      <c r="AU167" s="81" t="s">
        <v>81</v>
      </c>
      <c r="AV167" s="80" t="s">
        <v>80</v>
      </c>
      <c r="AW167" s="81" t="s">
        <v>81</v>
      </c>
    </row>
    <row r="168">
      <c r="AO168" s="58" t="s">
        <v>16</v>
      </c>
      <c r="AP168" s="59" t="s">
        <v>17</v>
      </c>
      <c r="AQ168" s="60">
        <v>64.0</v>
      </c>
      <c r="AR168" s="38">
        <f t="shared" ref="AR168:AR171" si="324">BO73</f>
        <v>0.1995503341</v>
      </c>
      <c r="AS168" s="38">
        <f t="shared" ref="AS168:AS171" si="325">BO149</f>
        <v>0.3215769735</v>
      </c>
      <c r="AT168" s="38">
        <f t="shared" ref="AT168:AT171" si="326">BO48</f>
        <v>0.3302986343</v>
      </c>
      <c r="AU168" s="38">
        <f t="shared" ref="AU168:AU171" si="327">BO124</f>
        <v>0.6906696154</v>
      </c>
      <c r="AV168" s="38">
        <f t="shared" ref="AV168:AV171" si="328">BO23</f>
        <v>0.3834923734</v>
      </c>
      <c r="AW168" s="38">
        <f t="shared" ref="AW168:AW171" si="329">BO99</f>
        <v>0.5902359682</v>
      </c>
    </row>
    <row r="169">
      <c r="AO169" s="58" t="s">
        <v>18</v>
      </c>
      <c r="AP169" s="59" t="s">
        <v>17</v>
      </c>
      <c r="AQ169" s="60">
        <v>64.0</v>
      </c>
      <c r="AR169" s="38">
        <f t="shared" si="324"/>
        <v>0.1995767837</v>
      </c>
      <c r="AS169" s="38">
        <f t="shared" si="325"/>
        <v>0.3215637246</v>
      </c>
      <c r="AT169" s="38">
        <f t="shared" si="326"/>
        <v>0.330455479</v>
      </c>
      <c r="AU169" s="38">
        <f t="shared" si="327"/>
        <v>0.6902019377</v>
      </c>
      <c r="AV169" s="38">
        <f t="shared" si="328"/>
        <v>0.3825047251</v>
      </c>
      <c r="AW169" s="38">
        <f t="shared" si="329"/>
        <v>0.5891747061</v>
      </c>
    </row>
    <row r="170">
      <c r="AO170" s="58" t="s">
        <v>19</v>
      </c>
      <c r="AP170" s="59" t="s">
        <v>17</v>
      </c>
      <c r="AQ170" s="60">
        <v>128.0</v>
      </c>
      <c r="AR170" s="38">
        <f t="shared" si="324"/>
        <v>0.1991067091</v>
      </c>
      <c r="AS170" s="38">
        <f t="shared" si="325"/>
        <v>0.3178161203</v>
      </c>
      <c r="AT170" s="38">
        <f t="shared" si="326"/>
        <v>0.3474753697</v>
      </c>
      <c r="AU170" s="38">
        <f t="shared" si="327"/>
        <v>0.6859268031</v>
      </c>
      <c r="AV170" s="38">
        <f t="shared" si="328"/>
        <v>0.1943995173</v>
      </c>
      <c r="AW170" s="38">
        <f t="shared" si="329"/>
        <v>0.5369783948</v>
      </c>
    </row>
    <row r="171">
      <c r="AO171" s="58" t="s">
        <v>20</v>
      </c>
      <c r="AP171" s="59" t="s">
        <v>17</v>
      </c>
      <c r="AQ171" s="60">
        <v>128.0</v>
      </c>
      <c r="AR171" s="38">
        <f t="shared" si="324"/>
        <v>0.1991476293</v>
      </c>
      <c r="AS171" s="38">
        <f t="shared" si="325"/>
        <v>0.3176983269</v>
      </c>
      <c r="AT171" s="38">
        <f t="shared" si="326"/>
        <v>0.3470955462</v>
      </c>
      <c r="AU171" s="38">
        <f t="shared" si="327"/>
        <v>0.6863390075</v>
      </c>
      <c r="AV171" s="38">
        <f t="shared" si="328"/>
        <v>0.2187765274</v>
      </c>
      <c r="AW171" s="38">
        <f t="shared" si="329"/>
        <v>0.7668181421</v>
      </c>
    </row>
    <row r="193">
      <c r="AR193" s="82" t="s">
        <v>0</v>
      </c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7"/>
    </row>
    <row r="194">
      <c r="AR194" s="9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1"/>
    </row>
    <row r="195">
      <c r="AR195" s="12" t="s">
        <v>82</v>
      </c>
      <c r="AS195" s="13"/>
      <c r="AT195" s="13"/>
      <c r="AU195" s="13"/>
      <c r="AV195" s="13"/>
      <c r="AW195" s="14"/>
      <c r="AX195" s="12" t="s">
        <v>83</v>
      </c>
      <c r="AY195" s="13"/>
      <c r="AZ195" s="13"/>
      <c r="BA195" s="13"/>
      <c r="BB195" s="13"/>
      <c r="BC195" s="14"/>
      <c r="BD195" s="12" t="s">
        <v>7</v>
      </c>
      <c r="BE195" s="13"/>
      <c r="BF195" s="13"/>
      <c r="BG195" s="13"/>
      <c r="BH195" s="13"/>
      <c r="BI195" s="14"/>
      <c r="BJ195" s="12" t="s">
        <v>84</v>
      </c>
      <c r="BK195" s="13"/>
      <c r="BL195" s="13"/>
      <c r="BM195" s="13"/>
      <c r="BN195" s="13"/>
      <c r="BO195" s="14"/>
    </row>
    <row r="196">
      <c r="AR196" s="15" t="s">
        <v>10</v>
      </c>
      <c r="AS196" s="15" t="s">
        <v>11</v>
      </c>
      <c r="AT196" s="15" t="s">
        <v>12</v>
      </c>
      <c r="AU196" s="15" t="s">
        <v>13</v>
      </c>
      <c r="AV196" s="15" t="s">
        <v>14</v>
      </c>
      <c r="AW196" s="16" t="s">
        <v>15</v>
      </c>
      <c r="AX196" s="15" t="s">
        <v>10</v>
      </c>
      <c r="AY196" s="15" t="s">
        <v>11</v>
      </c>
      <c r="AZ196" s="15" t="s">
        <v>12</v>
      </c>
      <c r="BA196" s="15" t="s">
        <v>13</v>
      </c>
      <c r="BB196" s="15" t="s">
        <v>14</v>
      </c>
      <c r="BC196" s="16" t="s">
        <v>15</v>
      </c>
      <c r="BD196" s="15" t="s">
        <v>10</v>
      </c>
      <c r="BE196" s="15" t="s">
        <v>11</v>
      </c>
      <c r="BF196" s="15" t="s">
        <v>12</v>
      </c>
      <c r="BG196" s="15" t="s">
        <v>13</v>
      </c>
      <c r="BH196" s="15" t="s">
        <v>14</v>
      </c>
      <c r="BI196" s="16" t="s">
        <v>15</v>
      </c>
      <c r="BJ196" s="15" t="s">
        <v>10</v>
      </c>
      <c r="BK196" s="15" t="s">
        <v>11</v>
      </c>
      <c r="BL196" s="15" t="s">
        <v>12</v>
      </c>
      <c r="BM196" s="15" t="s">
        <v>13</v>
      </c>
      <c r="BN196" s="15" t="s">
        <v>14</v>
      </c>
      <c r="BO196" s="16" t="s">
        <v>15</v>
      </c>
    </row>
    <row r="197">
      <c r="AO197" s="17" t="s">
        <v>35</v>
      </c>
      <c r="AP197" s="18" t="s">
        <v>85</v>
      </c>
      <c r="AQ197" s="18">
        <v>512.0</v>
      </c>
      <c r="AR197" s="17">
        <v>10238.0</v>
      </c>
      <c r="AS197" s="19">
        <f>1262890/100</f>
        <v>12628.9</v>
      </c>
      <c r="AT197" s="17">
        <v>12617.0</v>
      </c>
      <c r="AU197" s="17">
        <v>13535.0</v>
      </c>
      <c r="AV197" s="19">
        <f t="shared" ref="AV197:AV198" si="330">AR197/(10*AQ197)</f>
        <v>1.999609375</v>
      </c>
      <c r="AW197" s="20">
        <f t="shared" ref="AW197:AW198" si="331">AS197/(10*AQ197)</f>
        <v>2.466582031</v>
      </c>
      <c r="AX197" s="17">
        <v>40868.0</v>
      </c>
      <c r="AY197" s="19">
        <f>5032639/100</f>
        <v>50326.39</v>
      </c>
      <c r="AZ197" s="17">
        <v>50306.0</v>
      </c>
      <c r="BA197" s="17">
        <v>52116.0</v>
      </c>
      <c r="BB197" s="19">
        <f t="shared" ref="BB197:BB198" si="332">AX197/(40*AQ197)</f>
        <v>1.995507813</v>
      </c>
      <c r="BC197" s="20">
        <f t="shared" ref="BC197:BC198" si="333">AY197/(40*AQ197)</f>
        <v>2.457343262</v>
      </c>
      <c r="BD197" s="17">
        <v>81708.0</v>
      </c>
      <c r="BE197" s="19">
        <f>10091110/100</f>
        <v>100911.1</v>
      </c>
      <c r="BF197" s="17">
        <v>100784.0</v>
      </c>
      <c r="BG197" s="17">
        <v>103770.0</v>
      </c>
      <c r="BH197" s="19">
        <f t="shared" ref="BH197:BH198" si="334">BD197/(80*AQ197)</f>
        <v>1.994824219</v>
      </c>
      <c r="BI197" s="20">
        <f t="shared" ref="BI197:BI198" si="335">BE197/(80*AQ197)</f>
        <v>2.463649902</v>
      </c>
      <c r="BJ197" s="17">
        <v>102128.0</v>
      </c>
      <c r="BK197" s="19">
        <f>12571827/100</f>
        <v>125718.27</v>
      </c>
      <c r="BL197" s="17">
        <v>125673.0</v>
      </c>
      <c r="BM197" s="17">
        <v>129361.0</v>
      </c>
      <c r="BN197" s="19">
        <f t="shared" ref="BN197:BN198" si="336">BJ197/(100*AQ197)</f>
        <v>1.9946875</v>
      </c>
      <c r="BO197" s="20">
        <f t="shared" ref="BO197:BO198" si="337">BK197/(100*AQ197)</f>
        <v>2.455434961</v>
      </c>
    </row>
    <row r="198">
      <c r="AO198" s="17" t="s">
        <v>38</v>
      </c>
      <c r="AP198" s="18" t="s">
        <v>85</v>
      </c>
      <c r="AQ198" s="18">
        <v>512.0</v>
      </c>
      <c r="AR198" s="17">
        <v>24638.0</v>
      </c>
      <c r="AS198" s="19">
        <f>3084197/100</f>
        <v>30841.97</v>
      </c>
      <c r="AT198" s="17">
        <v>30730.0</v>
      </c>
      <c r="AU198" s="17">
        <v>32137.0</v>
      </c>
      <c r="AV198" s="19">
        <f t="shared" si="330"/>
        <v>4.812109375</v>
      </c>
      <c r="AW198" s="20">
        <f t="shared" si="331"/>
        <v>6.023822266</v>
      </c>
      <c r="AX198" s="17">
        <v>88346.0</v>
      </c>
      <c r="AY198" s="19">
        <f>11028027/100</f>
        <v>110280.27</v>
      </c>
      <c r="AZ198" s="17">
        <v>110166.0</v>
      </c>
      <c r="BA198" s="17">
        <v>112768.0</v>
      </c>
      <c r="BB198" s="19">
        <f t="shared" si="332"/>
        <v>4.313769531</v>
      </c>
      <c r="BC198" s="20">
        <f t="shared" si="333"/>
        <v>5.384778809</v>
      </c>
      <c r="BD198" s="17">
        <v>173313.0</v>
      </c>
      <c r="BE198" s="19">
        <f>21944970/100</f>
        <v>219449.7</v>
      </c>
      <c r="BF198" s="17">
        <v>219147.0</v>
      </c>
      <c r="BG198" s="17">
        <v>220580.0</v>
      </c>
      <c r="BH198" s="19">
        <f t="shared" si="334"/>
        <v>4.231274414</v>
      </c>
      <c r="BI198" s="20">
        <f t="shared" si="335"/>
        <v>5.357658691</v>
      </c>
      <c r="BJ198" s="17">
        <v>215808.0</v>
      </c>
      <c r="BK198" s="19">
        <f>27506583/100</f>
        <v>275065.83</v>
      </c>
      <c r="BL198" s="17">
        <v>274245.0</v>
      </c>
      <c r="BM198" s="17">
        <v>276474.0</v>
      </c>
      <c r="BN198" s="19">
        <f t="shared" si="336"/>
        <v>4.215</v>
      </c>
      <c r="BO198" s="20">
        <f t="shared" si="337"/>
        <v>5.372379492</v>
      </c>
    </row>
    <row r="199">
      <c r="AR199" s="23" t="s">
        <v>26</v>
      </c>
      <c r="AS199" s="13"/>
      <c r="AT199" s="13"/>
      <c r="AU199" s="13"/>
      <c r="AV199" s="13"/>
      <c r="AW199" s="14"/>
      <c r="AX199" s="23" t="s">
        <v>27</v>
      </c>
      <c r="AY199" s="13"/>
      <c r="AZ199" s="13"/>
      <c r="BA199" s="13"/>
      <c r="BB199" s="13"/>
      <c r="BC199" s="14"/>
      <c r="BD199" s="23" t="s">
        <v>28</v>
      </c>
      <c r="BE199" s="13"/>
      <c r="BF199" s="13"/>
      <c r="BG199" s="13"/>
      <c r="BH199" s="13"/>
      <c r="BI199" s="14"/>
      <c r="BJ199" s="23" t="s">
        <v>29</v>
      </c>
      <c r="BK199" s="13"/>
      <c r="BL199" s="13"/>
      <c r="BM199" s="13"/>
      <c r="BN199" s="13"/>
      <c r="BO199" s="14"/>
    </row>
    <row r="200">
      <c r="AR200" s="15" t="s">
        <v>10</v>
      </c>
      <c r="AS200" s="15" t="s">
        <v>11</v>
      </c>
      <c r="AT200" s="15" t="s">
        <v>12</v>
      </c>
      <c r="AU200" s="15" t="s">
        <v>13</v>
      </c>
      <c r="AV200" s="15" t="s">
        <v>14</v>
      </c>
      <c r="AW200" s="16" t="s">
        <v>15</v>
      </c>
      <c r="AX200" s="15" t="s">
        <v>10</v>
      </c>
      <c r="AY200" s="15" t="s">
        <v>11</v>
      </c>
      <c r="AZ200" s="15" t="s">
        <v>12</v>
      </c>
      <c r="BA200" s="15" t="s">
        <v>13</v>
      </c>
      <c r="BB200" s="15" t="s">
        <v>14</v>
      </c>
      <c r="BC200" s="16" t="s">
        <v>15</v>
      </c>
      <c r="BD200" s="15" t="s">
        <v>10</v>
      </c>
      <c r="BE200" s="15" t="s">
        <v>11</v>
      </c>
      <c r="BF200" s="15" t="s">
        <v>12</v>
      </c>
      <c r="BG200" s="15" t="s">
        <v>13</v>
      </c>
      <c r="BH200" s="15" t="s">
        <v>14</v>
      </c>
      <c r="BI200" s="16" t="s">
        <v>15</v>
      </c>
      <c r="BJ200" s="15" t="s">
        <v>10</v>
      </c>
      <c r="BK200" s="15" t="s">
        <v>11</v>
      </c>
      <c r="BL200" s="15" t="s">
        <v>12</v>
      </c>
      <c r="BM200" s="15" t="s">
        <v>13</v>
      </c>
      <c r="BN200" s="15" t="s">
        <v>14</v>
      </c>
      <c r="BO200" s="16" t="s">
        <v>15</v>
      </c>
    </row>
    <row r="201">
      <c r="AO201" s="17" t="s">
        <v>35</v>
      </c>
      <c r="AP201" s="18" t="s">
        <v>85</v>
      </c>
      <c r="AQ201" s="18">
        <v>512.0</v>
      </c>
      <c r="AR201" s="17">
        <v>19858.0</v>
      </c>
      <c r="AS201" s="19">
        <f>2243318/100</f>
        <v>22433.18</v>
      </c>
      <c r="AT201" s="17">
        <v>22423.0</v>
      </c>
      <c r="AU201" s="17">
        <v>23317.0</v>
      </c>
      <c r="AV201" s="19">
        <f t="shared" ref="AV201:AV202" si="338">AR201/(10*AQ201)</f>
        <v>3.878515625</v>
      </c>
      <c r="AW201" s="20">
        <f t="shared" ref="AW201:AW202" si="339">AS201/(10*AQ201)</f>
        <v>4.381480469</v>
      </c>
      <c r="AX201" s="17">
        <v>79348.0</v>
      </c>
      <c r="AY201" s="19">
        <f>8958905/100</f>
        <v>89589.05</v>
      </c>
      <c r="AZ201" s="17">
        <v>89568.0</v>
      </c>
      <c r="BA201" s="3">
        <v>91488.0</v>
      </c>
      <c r="BB201" s="19">
        <f t="shared" ref="BB201:BB202" si="340">AX201/(40*AQ201)</f>
        <v>3.874414063</v>
      </c>
      <c r="BC201" s="20">
        <f t="shared" ref="BC201:BC202" si="341">AY201/(40*AQ201)</f>
        <v>4.374465332</v>
      </c>
      <c r="BD201" s="17">
        <v>158668.0</v>
      </c>
      <c r="BE201" s="19">
        <f>17953898/100</f>
        <v>179538.98</v>
      </c>
      <c r="BF201" s="17">
        <v>179409.0</v>
      </c>
      <c r="BG201" s="17">
        <v>182591.0</v>
      </c>
      <c r="BH201" s="19">
        <f t="shared" ref="BH201:BH202" si="342">BD201/(80*AQ201)</f>
        <v>3.873730469</v>
      </c>
      <c r="BI201" s="20">
        <f t="shared" ref="BI201:BI202" si="343">BE201/(80*AQ201)</f>
        <v>4.383275879</v>
      </c>
      <c r="BJ201" s="17">
        <v>198328.0</v>
      </c>
      <c r="BK201" s="19">
        <f>22389896/100</f>
        <v>223898.96</v>
      </c>
      <c r="BL201" s="17">
        <v>223853.0</v>
      </c>
      <c r="BM201" s="17">
        <v>227739.0</v>
      </c>
      <c r="BN201" s="19">
        <f t="shared" ref="BN201:BN202" si="344">BJ201/(100*AQ201)</f>
        <v>3.87359375</v>
      </c>
      <c r="BO201" s="20">
        <f t="shared" ref="BO201:BO202" si="345">BK201/(100*AQ201)</f>
        <v>4.373026563</v>
      </c>
    </row>
    <row r="202">
      <c r="AO202" s="17" t="s">
        <v>38</v>
      </c>
      <c r="AP202" s="18" t="s">
        <v>85</v>
      </c>
      <c r="AQ202" s="18">
        <v>512.0</v>
      </c>
      <c r="AR202" s="17">
        <v>34258.0</v>
      </c>
      <c r="AS202" s="19">
        <f>4029716/100</f>
        <v>40297.16</v>
      </c>
      <c r="AT202" s="17">
        <v>40253.0</v>
      </c>
      <c r="AU202" s="17">
        <v>41223.0</v>
      </c>
      <c r="AV202" s="19">
        <f t="shared" si="338"/>
        <v>6.691015625</v>
      </c>
      <c r="AW202" s="20">
        <f t="shared" si="339"/>
        <v>7.870539063</v>
      </c>
      <c r="AX202" s="17">
        <v>126826.0</v>
      </c>
      <c r="AY202" s="17">
        <f>14899009/100</f>
        <v>148990.09</v>
      </c>
      <c r="AZ202" s="17">
        <v>148928.0</v>
      </c>
      <c r="BA202" s="17">
        <v>151168.0</v>
      </c>
      <c r="BB202" s="19">
        <f t="shared" si="340"/>
        <v>6.192675781</v>
      </c>
      <c r="BC202" s="20">
        <f t="shared" si="341"/>
        <v>7.274906738</v>
      </c>
      <c r="BD202" s="17">
        <v>250273.0</v>
      </c>
      <c r="BE202" s="19">
        <f>29769164/100</f>
        <v>297691.64</v>
      </c>
      <c r="BF202" s="17">
        <v>297472.0</v>
      </c>
      <c r="BG202" s="17">
        <v>299003.0</v>
      </c>
      <c r="BH202" s="19">
        <f t="shared" si="342"/>
        <v>6.110180664</v>
      </c>
      <c r="BI202" s="20">
        <f t="shared" si="343"/>
        <v>7.267862305</v>
      </c>
      <c r="BJ202" s="17">
        <v>312008.0</v>
      </c>
      <c r="BK202" s="19">
        <f>37275483/100</f>
        <v>372754.83</v>
      </c>
      <c r="BL202" s="17">
        <v>371343.0</v>
      </c>
      <c r="BM202" s="17">
        <v>373482.0</v>
      </c>
      <c r="BN202" s="19">
        <f t="shared" si="344"/>
        <v>6.09390625</v>
      </c>
      <c r="BO202" s="20">
        <f t="shared" si="345"/>
        <v>7.280367773</v>
      </c>
    </row>
    <row r="204">
      <c r="AO204" s="17" t="s">
        <v>35</v>
      </c>
      <c r="AP204" s="18" t="s">
        <v>85</v>
      </c>
      <c r="AQ204" s="18">
        <v>512.0</v>
      </c>
      <c r="AR204" s="4"/>
      <c r="AS204" s="4"/>
      <c r="AT204" s="38">
        <f t="shared" ref="AT204:AW204" si="346">1-AT197/AT201</f>
        <v>0.4373188244</v>
      </c>
      <c r="AU204" s="38">
        <f t="shared" si="346"/>
        <v>0.419522237</v>
      </c>
      <c r="AV204" s="39">
        <f t="shared" si="346"/>
        <v>0.4844395206</v>
      </c>
      <c r="AW204" s="39">
        <f t="shared" si="346"/>
        <v>0.4370437004</v>
      </c>
      <c r="AX204" s="4"/>
      <c r="AY204" s="4"/>
      <c r="AZ204" s="38">
        <f t="shared" ref="AZ204:BC204" si="347">1-AZ197/AZ201</f>
        <v>0.4383485173</v>
      </c>
      <c r="BA204" s="38">
        <f t="shared" si="347"/>
        <v>0.4303515215</v>
      </c>
      <c r="BB204" s="39">
        <f t="shared" si="347"/>
        <v>0.4849523617</v>
      </c>
      <c r="BC204" s="39">
        <f t="shared" si="347"/>
        <v>0.4382528892</v>
      </c>
      <c r="BD204" s="4"/>
      <c r="BE204" s="4"/>
      <c r="BF204" s="38">
        <f t="shared" ref="BF204:BI204" si="348">1-BF197/BF201</f>
        <v>0.4382444582</v>
      </c>
      <c r="BG204" s="38">
        <f t="shared" si="348"/>
        <v>0.4316806414</v>
      </c>
      <c r="BH204" s="39">
        <f t="shared" si="348"/>
        <v>0.4850379409</v>
      </c>
      <c r="BI204" s="39">
        <f t="shared" si="348"/>
        <v>0.4379432255</v>
      </c>
      <c r="BJ204" s="4"/>
      <c r="BK204" s="4"/>
      <c r="BL204" s="38">
        <f t="shared" ref="BL204:BO204" si="349">1-BL197/BL201</f>
        <v>0.438591397</v>
      </c>
      <c r="BM204" s="38">
        <f t="shared" si="349"/>
        <v>0.4319769561</v>
      </c>
      <c r="BN204" s="39">
        <f t="shared" si="349"/>
        <v>0.4850550603</v>
      </c>
      <c r="BO204" s="39">
        <f t="shared" si="349"/>
        <v>0.4385044486</v>
      </c>
    </row>
    <row r="205">
      <c r="AO205" s="17" t="s">
        <v>38</v>
      </c>
      <c r="AP205" s="18" t="s">
        <v>85</v>
      </c>
      <c r="AQ205" s="18">
        <v>512.0</v>
      </c>
      <c r="AR205" s="4"/>
      <c r="AS205" s="4"/>
      <c r="AT205" s="38">
        <f t="shared" ref="AT205:AW205" si="350">1-AT198/AT202</f>
        <v>0.2365786401</v>
      </c>
      <c r="AU205" s="38">
        <f t="shared" si="350"/>
        <v>0.2204109356</v>
      </c>
      <c r="AV205" s="39">
        <f t="shared" si="350"/>
        <v>0.2808103217</v>
      </c>
      <c r="AW205" s="39">
        <f t="shared" si="350"/>
        <v>0.2346366344</v>
      </c>
      <c r="AX205" s="4"/>
      <c r="AY205" s="4"/>
      <c r="AZ205" s="38">
        <f t="shared" ref="AZ205:BC205" si="351">1-AZ198/AZ202</f>
        <v>0.2602734207</v>
      </c>
      <c r="BA205" s="38">
        <f t="shared" si="351"/>
        <v>0.2540220152</v>
      </c>
      <c r="BB205" s="39">
        <f t="shared" si="351"/>
        <v>0.3034078186</v>
      </c>
      <c r="BC205" s="39">
        <f t="shared" si="351"/>
        <v>0.25981473</v>
      </c>
      <c r="BD205" s="4"/>
      <c r="BE205" s="4"/>
      <c r="BF205" s="38">
        <f t="shared" ref="BF205:BI205" si="352">1-BF198/BF202</f>
        <v>0.2633020923</v>
      </c>
      <c r="BG205" s="38">
        <f t="shared" si="352"/>
        <v>0.2622816493</v>
      </c>
      <c r="BH205" s="39">
        <f t="shared" si="352"/>
        <v>0.3075042054</v>
      </c>
      <c r="BI205" s="39">
        <f t="shared" si="352"/>
        <v>0.2628288117</v>
      </c>
      <c r="BJ205" s="4"/>
      <c r="BK205" s="4"/>
      <c r="BL205" s="38">
        <f t="shared" ref="BL205:BO205" si="353">1-BL198/BL202</f>
        <v>0.2614779328</v>
      </c>
      <c r="BM205" s="38">
        <f t="shared" si="353"/>
        <v>0.2597394252</v>
      </c>
      <c r="BN205" s="39">
        <f t="shared" si="353"/>
        <v>0.3083254276</v>
      </c>
      <c r="BO205" s="39">
        <f t="shared" si="353"/>
        <v>0.2620730629</v>
      </c>
    </row>
    <row r="212">
      <c r="AR212" s="82" t="s">
        <v>58</v>
      </c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7"/>
    </row>
    <row r="213">
      <c r="AR213" s="9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1"/>
    </row>
    <row r="214">
      <c r="AR214" s="12" t="s">
        <v>82</v>
      </c>
      <c r="AS214" s="13"/>
      <c r="AT214" s="13"/>
      <c r="AU214" s="13"/>
      <c r="AV214" s="13"/>
      <c r="AW214" s="14"/>
      <c r="AX214" s="12" t="s">
        <v>83</v>
      </c>
      <c r="AY214" s="13"/>
      <c r="AZ214" s="13"/>
      <c r="BA214" s="13"/>
      <c r="BB214" s="13"/>
      <c r="BC214" s="14"/>
      <c r="BD214" s="12" t="s">
        <v>7</v>
      </c>
      <c r="BE214" s="13"/>
      <c r="BF214" s="13"/>
      <c r="BG214" s="13"/>
      <c r="BH214" s="13"/>
      <c r="BI214" s="14"/>
      <c r="BJ214" s="12" t="s">
        <v>84</v>
      </c>
      <c r="BK214" s="13"/>
      <c r="BL214" s="13"/>
      <c r="BM214" s="13"/>
      <c r="BN214" s="13"/>
      <c r="BO214" s="14"/>
    </row>
    <row r="215">
      <c r="AR215" s="15" t="s">
        <v>10</v>
      </c>
      <c r="AS215" s="15" t="s">
        <v>11</v>
      </c>
      <c r="AT215" s="15" t="s">
        <v>12</v>
      </c>
      <c r="AU215" s="15" t="s">
        <v>13</v>
      </c>
      <c r="AV215" s="15" t="s">
        <v>14</v>
      </c>
      <c r="AW215" s="16" t="s">
        <v>15</v>
      </c>
      <c r="AX215" s="15" t="s">
        <v>10</v>
      </c>
      <c r="AY215" s="15" t="s">
        <v>11</v>
      </c>
      <c r="AZ215" s="15" t="s">
        <v>12</v>
      </c>
      <c r="BA215" s="15" t="s">
        <v>13</v>
      </c>
      <c r="BB215" s="15" t="s">
        <v>14</v>
      </c>
      <c r="BC215" s="16" t="s">
        <v>15</v>
      </c>
      <c r="BD215" s="15" t="s">
        <v>10</v>
      </c>
      <c r="BE215" s="15" t="s">
        <v>11</v>
      </c>
      <c r="BF215" s="15" t="s">
        <v>12</v>
      </c>
      <c r="BG215" s="15" t="s">
        <v>13</v>
      </c>
      <c r="BH215" s="15" t="s">
        <v>14</v>
      </c>
      <c r="BI215" s="16" t="s">
        <v>15</v>
      </c>
      <c r="BJ215" s="15" t="s">
        <v>10</v>
      </c>
      <c r="BK215" s="15" t="s">
        <v>11</v>
      </c>
      <c r="BL215" s="15" t="s">
        <v>12</v>
      </c>
      <c r="BM215" s="15" t="s">
        <v>13</v>
      </c>
      <c r="BN215" s="15" t="s">
        <v>14</v>
      </c>
      <c r="BO215" s="16" t="s">
        <v>15</v>
      </c>
    </row>
    <row r="216">
      <c r="AO216" s="17" t="s">
        <v>35</v>
      </c>
      <c r="AP216" s="18" t="s">
        <v>85</v>
      </c>
      <c r="AQ216" s="18">
        <v>512.0</v>
      </c>
      <c r="AR216" s="17">
        <v>10238.0</v>
      </c>
      <c r="AS216" s="19">
        <f>1262859/100</f>
        <v>12628.59</v>
      </c>
      <c r="AT216" s="17">
        <v>12617.0</v>
      </c>
      <c r="AU216" s="17">
        <v>13562.0</v>
      </c>
      <c r="AV216" s="19">
        <f t="shared" ref="AV216:AV217" si="354">AR216/(10*AQ216)</f>
        <v>1.999609375</v>
      </c>
      <c r="AW216" s="20">
        <f t="shared" ref="AW216:AW217" si="355">AS216/(10*AQ216)</f>
        <v>2.466521484</v>
      </c>
      <c r="AX216" s="17">
        <v>40868.0</v>
      </c>
      <c r="AY216" s="19">
        <f>5031844/100</f>
        <v>50318.44</v>
      </c>
      <c r="AZ216" s="17">
        <v>50297.0</v>
      </c>
      <c r="BA216" s="17">
        <v>52176.0</v>
      </c>
      <c r="BB216" s="19">
        <f t="shared" ref="BB216:BB217" si="356">AX216/(40*AQ216)</f>
        <v>1.995507813</v>
      </c>
      <c r="BC216" s="20">
        <f t="shared" ref="BC216:BC217" si="357">AY216/(40*AQ216)</f>
        <v>2.456955078</v>
      </c>
      <c r="BD216" s="17">
        <v>81708.0</v>
      </c>
      <c r="BE216" s="19">
        <f>10109758/100</f>
        <v>101097.58</v>
      </c>
      <c r="BF216" s="17">
        <v>100875.0</v>
      </c>
      <c r="BG216" s="17">
        <v>103691.0</v>
      </c>
      <c r="BH216" s="19">
        <f t="shared" ref="BH216:BH217" si="358">BD216/(80*AQ216)</f>
        <v>1.994824219</v>
      </c>
      <c r="BI216" s="20">
        <f t="shared" ref="BI216:BI217" si="359">BE216/(80*AQ216)</f>
        <v>2.468202637</v>
      </c>
      <c r="BJ216" s="17">
        <v>102128.0</v>
      </c>
      <c r="BK216" s="19">
        <f>12573876/100</f>
        <v>125738.76</v>
      </c>
      <c r="BL216" s="17">
        <v>125680.0</v>
      </c>
      <c r="BM216" s="17">
        <v>129412.0</v>
      </c>
      <c r="BN216" s="19">
        <f t="shared" ref="BN216:BN217" si="360">BJ216/(100*AQ216)</f>
        <v>1.9946875</v>
      </c>
      <c r="BO216" s="20">
        <f t="shared" ref="BO216:BO217" si="361">BK216/(100*AQ216)</f>
        <v>2.455835156</v>
      </c>
    </row>
    <row r="217">
      <c r="AO217" s="17" t="s">
        <v>38</v>
      </c>
      <c r="AP217" s="18" t="s">
        <v>85</v>
      </c>
      <c r="AQ217" s="18">
        <v>512.0</v>
      </c>
      <c r="AR217" s="17">
        <v>26482.0</v>
      </c>
      <c r="AS217" s="19">
        <f>3361976/100</f>
        <v>33619.76</v>
      </c>
      <c r="AT217" s="17">
        <v>33604.0</v>
      </c>
      <c r="AU217" s="17">
        <v>34456.0</v>
      </c>
      <c r="AV217" s="19">
        <f t="shared" si="354"/>
        <v>5.172265625</v>
      </c>
      <c r="AW217" s="20">
        <f t="shared" si="355"/>
        <v>6.566359375</v>
      </c>
      <c r="AX217" s="17">
        <v>90190.0</v>
      </c>
      <c r="AY217" s="19">
        <f>11305446/100</f>
        <v>113054.46</v>
      </c>
      <c r="AZ217" s="17">
        <v>113001.0</v>
      </c>
      <c r="BA217" s="17">
        <v>115005.0</v>
      </c>
      <c r="BB217" s="19">
        <f t="shared" si="356"/>
        <v>4.403808594</v>
      </c>
      <c r="BC217" s="20">
        <f t="shared" si="357"/>
        <v>5.520237305</v>
      </c>
      <c r="BD217" s="17">
        <v>175157.0</v>
      </c>
      <c r="BE217" s="19">
        <f>22227633/100</f>
        <v>222276.33</v>
      </c>
      <c r="BF217" s="17">
        <v>222077.0</v>
      </c>
      <c r="BG217" s="17">
        <v>223026.0</v>
      </c>
      <c r="BH217" s="19">
        <f t="shared" si="358"/>
        <v>4.276293945</v>
      </c>
      <c r="BI217" s="20">
        <f t="shared" si="359"/>
        <v>5.426668213</v>
      </c>
      <c r="BJ217" s="17">
        <v>217652.0</v>
      </c>
      <c r="BK217" s="19">
        <f>27794586/100</f>
        <v>277945.86</v>
      </c>
      <c r="BL217" s="17">
        <v>276176.0</v>
      </c>
      <c r="BM217" s="17">
        <v>278956.0</v>
      </c>
      <c r="BN217" s="19">
        <f t="shared" si="360"/>
        <v>4.251015625</v>
      </c>
      <c r="BO217" s="20">
        <f t="shared" si="361"/>
        <v>5.428630078</v>
      </c>
    </row>
    <row r="218">
      <c r="AR218" s="23" t="s">
        <v>26</v>
      </c>
      <c r="AS218" s="13"/>
      <c r="AT218" s="13"/>
      <c r="AU218" s="13"/>
      <c r="AV218" s="13"/>
      <c r="AW218" s="14"/>
      <c r="AX218" s="23" t="s">
        <v>27</v>
      </c>
      <c r="AY218" s="13"/>
      <c r="AZ218" s="13"/>
      <c r="BA218" s="13"/>
      <c r="BB218" s="13"/>
      <c r="BC218" s="14"/>
      <c r="BD218" s="23" t="s">
        <v>28</v>
      </c>
      <c r="BE218" s="13"/>
      <c r="BF218" s="13"/>
      <c r="BG218" s="13"/>
      <c r="BH218" s="13"/>
      <c r="BI218" s="14"/>
      <c r="BJ218" s="23" t="s">
        <v>29</v>
      </c>
      <c r="BK218" s="13"/>
      <c r="BL218" s="13"/>
      <c r="BM218" s="13"/>
      <c r="BN218" s="13"/>
      <c r="BO218" s="14"/>
    </row>
    <row r="219">
      <c r="AR219" s="15" t="s">
        <v>10</v>
      </c>
      <c r="AS219" s="15" t="s">
        <v>11</v>
      </c>
      <c r="AT219" s="15" t="s">
        <v>12</v>
      </c>
      <c r="AU219" s="15" t="s">
        <v>13</v>
      </c>
      <c r="AV219" s="15" t="s">
        <v>14</v>
      </c>
      <c r="AW219" s="16" t="s">
        <v>15</v>
      </c>
      <c r="AX219" s="15" t="s">
        <v>10</v>
      </c>
      <c r="AY219" s="15" t="s">
        <v>11</v>
      </c>
      <c r="AZ219" s="15" t="s">
        <v>12</v>
      </c>
      <c r="BA219" s="15" t="s">
        <v>13</v>
      </c>
      <c r="BB219" s="15" t="s">
        <v>14</v>
      </c>
      <c r="BC219" s="16" t="s">
        <v>15</v>
      </c>
      <c r="BD219" s="15" t="s">
        <v>10</v>
      </c>
      <c r="BE219" s="15" t="s">
        <v>11</v>
      </c>
      <c r="BF219" s="15" t="s">
        <v>12</v>
      </c>
      <c r="BG219" s="15" t="s">
        <v>13</v>
      </c>
      <c r="BH219" s="15" t="s">
        <v>14</v>
      </c>
      <c r="BI219" s="16" t="s">
        <v>15</v>
      </c>
      <c r="BJ219" s="15" t="s">
        <v>10</v>
      </c>
      <c r="BK219" s="15" t="s">
        <v>11</v>
      </c>
      <c r="BL219" s="15" t="s">
        <v>12</v>
      </c>
      <c r="BM219" s="15" t="s">
        <v>13</v>
      </c>
      <c r="BN219" s="15" t="s">
        <v>14</v>
      </c>
      <c r="BO219" s="16" t="s">
        <v>15</v>
      </c>
    </row>
    <row r="220">
      <c r="AO220" s="17" t="s">
        <v>35</v>
      </c>
      <c r="AP220" s="18" t="s">
        <v>85</v>
      </c>
      <c r="AQ220" s="18">
        <v>512.0</v>
      </c>
      <c r="AR220" s="17">
        <v>38118.0</v>
      </c>
      <c r="AS220" s="19">
        <f>5329207/100</f>
        <v>53292.07</v>
      </c>
      <c r="AT220" s="17">
        <v>53285.0</v>
      </c>
      <c r="AU220" s="17">
        <v>53874.0</v>
      </c>
      <c r="AV220" s="19">
        <f t="shared" ref="AV220:AV221" si="362">AR220/(10*AQ220)</f>
        <v>7.444921875</v>
      </c>
      <c r="AW220" s="20">
        <f t="shared" ref="AW220:AW221" si="363">AS220/(10*AQ220)</f>
        <v>10.40860742</v>
      </c>
      <c r="AX220" s="17">
        <v>152388.0</v>
      </c>
      <c r="AY220" s="19">
        <f>21302257/100</f>
        <v>213022.57</v>
      </c>
      <c r="AZ220" s="17">
        <v>213005.0</v>
      </c>
      <c r="BA220" s="17">
        <v>214590.0</v>
      </c>
      <c r="BB220" s="19">
        <f t="shared" ref="BB220:BB221" si="364">AX220/(40*AQ220)</f>
        <v>7.440820313</v>
      </c>
      <c r="BC220" s="20">
        <f t="shared" ref="BC220:BC221" si="365">AY220/(40*AQ220)</f>
        <v>10.40149268</v>
      </c>
      <c r="BD220" s="17">
        <v>304748.0</v>
      </c>
      <c r="BE220" s="19">
        <f>42663426/100</f>
        <v>426634.26</v>
      </c>
      <c r="BF220" s="17">
        <v>426222.0</v>
      </c>
      <c r="BG220" s="17">
        <v>428823.0</v>
      </c>
      <c r="BH220" s="19">
        <f t="shared" ref="BH220:BH221" si="366">BD220/(80*AQ220)</f>
        <v>7.440136719</v>
      </c>
      <c r="BI220" s="20">
        <f t="shared" ref="BI220:BI221" si="367">BE220/(80*AQ220)</f>
        <v>10.41587549</v>
      </c>
      <c r="BJ220" s="17">
        <v>380928.0</v>
      </c>
      <c r="BK220" s="19">
        <f>53249389/100</f>
        <v>532493.89</v>
      </c>
      <c r="BL220" s="17">
        <v>532452.0</v>
      </c>
      <c r="BM220" s="17">
        <v>535873.0</v>
      </c>
      <c r="BN220" s="19">
        <f t="shared" ref="BN220:BN221" si="368">BJ220/(100*AQ220)</f>
        <v>7.44</v>
      </c>
      <c r="BO220" s="20">
        <f t="shared" ref="BO220:BO221" si="369">BK220/(100*AQ220)</f>
        <v>10.40027129</v>
      </c>
    </row>
    <row r="221">
      <c r="AO221" s="17" t="s">
        <v>38</v>
      </c>
      <c r="AP221" s="18" t="s">
        <v>85</v>
      </c>
      <c r="AQ221" s="18">
        <v>512.0</v>
      </c>
      <c r="AR221" s="17">
        <v>54362.0</v>
      </c>
      <c r="AS221" s="19">
        <f>7425014/100</f>
        <v>74250.14</v>
      </c>
      <c r="AT221" s="17">
        <v>74238.0</v>
      </c>
      <c r="AU221" s="17">
        <v>75014.0</v>
      </c>
      <c r="AV221" s="19">
        <f t="shared" si="362"/>
        <v>10.61757813</v>
      </c>
      <c r="AW221" s="20">
        <f t="shared" si="363"/>
        <v>14.50198047</v>
      </c>
      <c r="AX221" s="17">
        <v>201710.0</v>
      </c>
      <c r="AY221" s="19">
        <f>27552958/100</f>
        <v>275529.58</v>
      </c>
      <c r="AZ221" s="17">
        <v>275501.0</v>
      </c>
      <c r="BA221" s="17">
        <v>277503.0</v>
      </c>
      <c r="BB221" s="19">
        <f t="shared" si="364"/>
        <v>9.849121094</v>
      </c>
      <c r="BC221" s="20">
        <f t="shared" si="365"/>
        <v>13.45359277</v>
      </c>
      <c r="BD221" s="17">
        <v>398197.0</v>
      </c>
      <c r="BE221" s="19">
        <f>54733876/100</f>
        <v>547338.76</v>
      </c>
      <c r="BF221" s="17">
        <v>546880.0</v>
      </c>
      <c r="BG221" s="17">
        <v>548182.0</v>
      </c>
      <c r="BH221" s="19">
        <f t="shared" si="366"/>
        <v>9.721606445</v>
      </c>
      <c r="BI221" s="20">
        <f t="shared" si="367"/>
        <v>13.3627627</v>
      </c>
      <c r="BJ221" s="17">
        <v>496452.0</v>
      </c>
      <c r="BK221" s="19">
        <f>68435362/100</f>
        <v>684353.62</v>
      </c>
      <c r="BL221" s="17">
        <v>682912.0</v>
      </c>
      <c r="BM221" s="17">
        <v>685110.0</v>
      </c>
      <c r="BN221" s="19">
        <f t="shared" si="368"/>
        <v>9.696328125</v>
      </c>
      <c r="BO221" s="20">
        <f t="shared" si="369"/>
        <v>13.36628164</v>
      </c>
    </row>
    <row r="223">
      <c r="AO223" s="17" t="s">
        <v>35</v>
      </c>
      <c r="AP223" s="18" t="s">
        <v>85</v>
      </c>
      <c r="AQ223" s="18">
        <v>512.0</v>
      </c>
      <c r="AR223" s="4"/>
      <c r="AS223" s="4"/>
      <c r="AT223" s="38">
        <f t="shared" ref="AT223:AW223" si="370">1-AT216/AT220</f>
        <v>0.7632166651</v>
      </c>
      <c r="AU223" s="38">
        <f t="shared" si="370"/>
        <v>0.7482644689</v>
      </c>
      <c r="AV223" s="39">
        <f t="shared" si="370"/>
        <v>0.7314129807</v>
      </c>
      <c r="AW223" s="39">
        <f t="shared" si="370"/>
        <v>0.7630305972</v>
      </c>
      <c r="AX223" s="4"/>
      <c r="AY223" s="4"/>
      <c r="AZ223" s="38">
        <f t="shared" ref="AZ223:BC223" si="371">1-AZ216/AZ220</f>
        <v>0.7638693927</v>
      </c>
      <c r="BA223" s="38">
        <f t="shared" si="371"/>
        <v>0.7568572627</v>
      </c>
      <c r="BB223" s="39">
        <f t="shared" si="371"/>
        <v>0.7318161535</v>
      </c>
      <c r="BC223" s="39">
        <f t="shared" si="371"/>
        <v>0.7637882221</v>
      </c>
      <c r="BD223" s="4"/>
      <c r="BE223" s="4"/>
      <c r="BF223" s="38">
        <f t="shared" ref="BF223:BI223" si="372">1-BF216/BF220</f>
        <v>0.7633275617</v>
      </c>
      <c r="BG223" s="38">
        <f t="shared" si="372"/>
        <v>0.7581962721</v>
      </c>
      <c r="BH223" s="39">
        <f t="shared" si="372"/>
        <v>0.7318833922</v>
      </c>
      <c r="BI223" s="39">
        <f t="shared" si="372"/>
        <v>0.7630345486</v>
      </c>
      <c r="BJ223" s="4"/>
      <c r="BK223" s="4"/>
      <c r="BL223" s="38">
        <f t="shared" ref="BL223:BO223" si="373">1-BL216/BL220</f>
        <v>0.7639599438</v>
      </c>
      <c r="BM223" s="38">
        <f t="shared" si="373"/>
        <v>0.758502481</v>
      </c>
      <c r="BN223" s="39">
        <f t="shared" si="373"/>
        <v>0.7318968414</v>
      </c>
      <c r="BO223" s="39">
        <f t="shared" si="373"/>
        <v>0.7638681638</v>
      </c>
    </row>
    <row r="224">
      <c r="AO224" s="17" t="s">
        <v>38</v>
      </c>
      <c r="AP224" s="18" t="s">
        <v>85</v>
      </c>
      <c r="AQ224" s="18">
        <v>512.0</v>
      </c>
      <c r="AR224" s="4"/>
      <c r="AS224" s="4"/>
      <c r="AT224" s="38">
        <f t="shared" ref="AT224:AW224" si="374">1-AT217/AT221</f>
        <v>0.5473477195</v>
      </c>
      <c r="AU224" s="38">
        <f t="shared" si="374"/>
        <v>0.5406724078</v>
      </c>
      <c r="AV224" s="39">
        <f t="shared" si="374"/>
        <v>0.5128582466</v>
      </c>
      <c r="AW224" s="39">
        <f t="shared" si="374"/>
        <v>0.5472094733</v>
      </c>
      <c r="AX224" s="4"/>
      <c r="AY224" s="4"/>
      <c r="AZ224" s="38">
        <f t="shared" ref="AZ224:BC224" si="375">1-AZ217/AZ221</f>
        <v>0.5898345197</v>
      </c>
      <c r="BA224" s="38">
        <f t="shared" si="375"/>
        <v>0.5855720479</v>
      </c>
      <c r="BB224" s="39">
        <f t="shared" si="375"/>
        <v>0.5528729364</v>
      </c>
      <c r="BC224" s="39">
        <f t="shared" si="375"/>
        <v>0.5896830388</v>
      </c>
      <c r="BD224" s="4"/>
      <c r="BE224" s="4"/>
      <c r="BF224" s="38">
        <f t="shared" ref="BF224:BI224" si="376">1-BF217/BF221</f>
        <v>0.5939200556</v>
      </c>
      <c r="BG224" s="38">
        <f t="shared" si="376"/>
        <v>0.5931533688</v>
      </c>
      <c r="BH224" s="39">
        <f t="shared" si="376"/>
        <v>0.5601247624</v>
      </c>
      <c r="BI224" s="39">
        <f t="shared" si="376"/>
        <v>0.5938962371</v>
      </c>
      <c r="BJ224" s="4"/>
      <c r="BK224" s="4"/>
      <c r="BL224" s="38">
        <f t="shared" ref="BL224:BO224" si="377">1-BL217/BL221</f>
        <v>0.5955906471</v>
      </c>
      <c r="BM224" s="38">
        <f t="shared" si="377"/>
        <v>0.5928303484</v>
      </c>
      <c r="BN224" s="39">
        <f t="shared" si="377"/>
        <v>0.5615850072</v>
      </c>
      <c r="BO224" s="39">
        <f t="shared" si="377"/>
        <v>0.593856375</v>
      </c>
    </row>
    <row r="231">
      <c r="AR231" s="82" t="s">
        <v>67</v>
      </c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7"/>
    </row>
    <row r="232">
      <c r="AR232" s="9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1"/>
    </row>
    <row r="233">
      <c r="AR233" s="12" t="s">
        <v>82</v>
      </c>
      <c r="AS233" s="13"/>
      <c r="AT233" s="13"/>
      <c r="AU233" s="13"/>
      <c r="AV233" s="13"/>
      <c r="AW233" s="14"/>
      <c r="AX233" s="12" t="s">
        <v>83</v>
      </c>
      <c r="AY233" s="13"/>
      <c r="AZ233" s="13"/>
      <c r="BA233" s="13"/>
      <c r="BB233" s="13"/>
      <c r="BC233" s="14"/>
      <c r="BD233" s="12" t="s">
        <v>7</v>
      </c>
      <c r="BE233" s="13"/>
      <c r="BF233" s="13"/>
      <c r="BG233" s="13"/>
      <c r="BH233" s="13"/>
      <c r="BI233" s="14"/>
      <c r="BJ233" s="12" t="s">
        <v>84</v>
      </c>
      <c r="BK233" s="13"/>
      <c r="BL233" s="13"/>
      <c r="BM233" s="13"/>
      <c r="BN233" s="13"/>
      <c r="BO233" s="14"/>
    </row>
    <row r="234">
      <c r="AR234" s="15" t="s">
        <v>10</v>
      </c>
      <c r="AS234" s="15" t="s">
        <v>11</v>
      </c>
      <c r="AT234" s="15" t="s">
        <v>12</v>
      </c>
      <c r="AU234" s="15" t="s">
        <v>13</v>
      </c>
      <c r="AV234" s="15" t="s">
        <v>14</v>
      </c>
      <c r="AW234" s="16" t="s">
        <v>15</v>
      </c>
      <c r="AX234" s="15" t="s">
        <v>10</v>
      </c>
      <c r="AY234" s="15" t="s">
        <v>11</v>
      </c>
      <c r="AZ234" s="15" t="s">
        <v>12</v>
      </c>
      <c r="BA234" s="15" t="s">
        <v>13</v>
      </c>
      <c r="BB234" s="15" t="s">
        <v>14</v>
      </c>
      <c r="BC234" s="16" t="s">
        <v>15</v>
      </c>
      <c r="BD234" s="15" t="s">
        <v>10</v>
      </c>
      <c r="BE234" s="15" t="s">
        <v>11</v>
      </c>
      <c r="BF234" s="15" t="s">
        <v>12</v>
      </c>
      <c r="BG234" s="15" t="s">
        <v>13</v>
      </c>
      <c r="BH234" s="15" t="s">
        <v>14</v>
      </c>
      <c r="BI234" s="16" t="s">
        <v>15</v>
      </c>
      <c r="BJ234" s="15" t="s">
        <v>10</v>
      </c>
      <c r="BK234" s="15" t="s">
        <v>11</v>
      </c>
      <c r="BL234" s="15" t="s">
        <v>12</v>
      </c>
      <c r="BM234" s="15" t="s">
        <v>13</v>
      </c>
      <c r="BN234" s="15" t="s">
        <v>14</v>
      </c>
      <c r="BO234" s="16" t="s">
        <v>15</v>
      </c>
    </row>
    <row r="235">
      <c r="AO235" s="17" t="s">
        <v>35</v>
      </c>
      <c r="AP235" s="18" t="s">
        <v>85</v>
      </c>
      <c r="AQ235" s="18">
        <v>512.0</v>
      </c>
      <c r="AR235" s="17">
        <v>21298.0</v>
      </c>
      <c r="AS235" s="19">
        <f>2955216/100</f>
        <v>29552.16</v>
      </c>
      <c r="AT235" s="17">
        <v>29511.0</v>
      </c>
      <c r="AU235" s="17">
        <v>30417.0</v>
      </c>
      <c r="AV235" s="19">
        <f t="shared" ref="AV235:AV236" si="378">AR235/(10*AQ235)</f>
        <v>4.159765625</v>
      </c>
      <c r="AW235" s="20">
        <f t="shared" ref="AW235:AW236" si="379">AS235/(10*AQ235)</f>
        <v>5.77190625</v>
      </c>
      <c r="AX235" s="17">
        <v>85108.0</v>
      </c>
      <c r="AY235" s="19">
        <f>11808208/100</f>
        <v>118082.08</v>
      </c>
      <c r="AZ235" s="17">
        <v>118061.0</v>
      </c>
      <c r="BA235" s="17">
        <v>119865.0</v>
      </c>
      <c r="BB235" s="19">
        <f t="shared" ref="BB235:BB236" si="380">AX235/(40*AQ235)</f>
        <v>4.155664063</v>
      </c>
      <c r="BC235" s="20">
        <f t="shared" ref="BC235:BC236" si="381">AY235/(40*AQ235)</f>
        <v>5.765726563</v>
      </c>
      <c r="BD235" s="17">
        <v>170188.0</v>
      </c>
      <c r="BE235" s="19">
        <f>23610088/100</f>
        <v>236100.88</v>
      </c>
      <c r="BF235" s="17">
        <v>236066.0</v>
      </c>
      <c r="BG235" s="17">
        <v>239095.0</v>
      </c>
      <c r="BH235" s="19">
        <f t="shared" ref="BH235:BH236" si="382">BD235/(80*AQ235)</f>
        <v>4.154980469</v>
      </c>
      <c r="BI235" s="20">
        <f t="shared" ref="BI235:BI236" si="383">BE235/(80*AQ235)</f>
        <v>5.764181641</v>
      </c>
      <c r="BJ235" s="17">
        <v>212728.0</v>
      </c>
      <c r="BK235" s="19">
        <f>29490686/100</f>
        <v>294906.86</v>
      </c>
      <c r="BL235" s="17">
        <v>294810.0</v>
      </c>
      <c r="BM235" s="17">
        <v>298226.0</v>
      </c>
      <c r="BN235" s="19">
        <f t="shared" ref="BN235:BN236" si="384">BJ235/(100*AQ235)</f>
        <v>4.15484375</v>
      </c>
      <c r="BO235" s="20">
        <f t="shared" ref="BO235:BO236" si="385">BK235/(100*AQ235)</f>
        <v>5.759899609</v>
      </c>
    </row>
    <row r="236">
      <c r="AO236" s="17" t="s">
        <v>38</v>
      </c>
      <c r="AP236" s="18" t="s">
        <v>85</v>
      </c>
      <c r="AQ236" s="18">
        <v>512.0</v>
      </c>
      <c r="AR236" s="17">
        <v>37405.0</v>
      </c>
      <c r="AS236" s="19">
        <f>5012459/100</f>
        <v>50124.59</v>
      </c>
      <c r="AT236" s="17">
        <v>50069.0</v>
      </c>
      <c r="AU236" s="17">
        <v>51117.0</v>
      </c>
      <c r="AV236" s="19">
        <f t="shared" si="378"/>
        <v>7.305664063</v>
      </c>
      <c r="AW236" s="20">
        <f t="shared" si="379"/>
        <v>9.789958984</v>
      </c>
      <c r="AX236" s="17">
        <v>133933.0</v>
      </c>
      <c r="AY236" s="19">
        <f>17896785/100</f>
        <v>178967.85</v>
      </c>
      <c r="AZ236" s="17">
        <v>178891.0</v>
      </c>
      <c r="BA236" s="17">
        <v>181153.0</v>
      </c>
      <c r="BB236" s="19">
        <f t="shared" si="380"/>
        <v>6.539697266</v>
      </c>
      <c r="BC236" s="20">
        <f t="shared" si="381"/>
        <v>8.738664551</v>
      </c>
      <c r="BD236" s="17">
        <v>262660.0</v>
      </c>
      <c r="BE236" s="19">
        <f>35407971/100</f>
        <v>354079.71</v>
      </c>
      <c r="BF236" s="17">
        <v>353848.0</v>
      </c>
      <c r="BG236" s="17">
        <v>355335.0</v>
      </c>
      <c r="BH236" s="19">
        <f t="shared" si="382"/>
        <v>6.412597656</v>
      </c>
      <c r="BI236" s="20">
        <f t="shared" si="383"/>
        <v>8.64452417</v>
      </c>
      <c r="BJ236" s="17">
        <v>327035.0</v>
      </c>
      <c r="BK236" s="19">
        <f>44276546/100</f>
        <v>442765.46</v>
      </c>
      <c r="BL236" s="17">
        <v>442372.0</v>
      </c>
      <c r="BM236" s="17">
        <v>443684.0</v>
      </c>
      <c r="BN236" s="19">
        <f t="shared" si="384"/>
        <v>6.387402344</v>
      </c>
      <c r="BO236" s="20">
        <f t="shared" si="385"/>
        <v>8.647762891</v>
      </c>
    </row>
    <row r="237">
      <c r="AR237" s="23" t="s">
        <v>26</v>
      </c>
      <c r="AS237" s="13"/>
      <c r="AT237" s="13"/>
      <c r="AU237" s="13"/>
      <c r="AV237" s="13"/>
      <c r="AW237" s="14"/>
      <c r="AX237" s="23" t="s">
        <v>27</v>
      </c>
      <c r="AY237" s="13"/>
      <c r="AZ237" s="13"/>
      <c r="BA237" s="13"/>
      <c r="BB237" s="13"/>
      <c r="BC237" s="14"/>
      <c r="BD237" s="23" t="s">
        <v>28</v>
      </c>
      <c r="BE237" s="13"/>
      <c r="BF237" s="13"/>
      <c r="BG237" s="13"/>
      <c r="BH237" s="13"/>
      <c r="BI237" s="14"/>
      <c r="BJ237" s="23" t="s">
        <v>29</v>
      </c>
      <c r="BK237" s="13"/>
      <c r="BL237" s="13"/>
      <c r="BM237" s="13"/>
      <c r="BN237" s="13"/>
      <c r="BO237" s="14"/>
    </row>
    <row r="238">
      <c r="AR238" s="15" t="s">
        <v>10</v>
      </c>
      <c r="AS238" s="15" t="s">
        <v>11</v>
      </c>
      <c r="AT238" s="15" t="s">
        <v>12</v>
      </c>
      <c r="AU238" s="15" t="s">
        <v>13</v>
      </c>
      <c r="AV238" s="15" t="s">
        <v>14</v>
      </c>
      <c r="AW238" s="16" t="s">
        <v>15</v>
      </c>
      <c r="AX238" s="15" t="s">
        <v>10</v>
      </c>
      <c r="AY238" s="15" t="s">
        <v>11</v>
      </c>
      <c r="AZ238" s="15" t="s">
        <v>12</v>
      </c>
      <c r="BA238" s="15" t="s">
        <v>13</v>
      </c>
      <c r="BB238" s="15" t="s">
        <v>14</v>
      </c>
      <c r="BC238" s="16" t="s">
        <v>15</v>
      </c>
      <c r="BD238" s="15" t="s">
        <v>10</v>
      </c>
      <c r="BE238" s="15" t="s">
        <v>11</v>
      </c>
      <c r="BF238" s="15" t="s">
        <v>12</v>
      </c>
      <c r="BG238" s="15" t="s">
        <v>13</v>
      </c>
      <c r="BH238" s="15" t="s">
        <v>14</v>
      </c>
      <c r="BI238" s="16" t="s">
        <v>15</v>
      </c>
      <c r="BJ238" s="15" t="s">
        <v>10</v>
      </c>
      <c r="BK238" s="15" t="s">
        <v>11</v>
      </c>
      <c r="BL238" s="15" t="s">
        <v>12</v>
      </c>
      <c r="BM238" s="15" t="s">
        <v>13</v>
      </c>
      <c r="BN238" s="15" t="s">
        <v>14</v>
      </c>
      <c r="BO238" s="16" t="s">
        <v>15</v>
      </c>
    </row>
    <row r="239">
      <c r="AO239" s="17" t="s">
        <v>35</v>
      </c>
      <c r="AP239" s="18" t="s">
        <v>85</v>
      </c>
      <c r="AQ239" s="18">
        <v>512.0</v>
      </c>
      <c r="AR239" s="17">
        <v>38098.0</v>
      </c>
      <c r="AS239" s="19">
        <f>5309827/100</f>
        <v>53098.27</v>
      </c>
      <c r="AT239" s="17">
        <v>53062.0</v>
      </c>
      <c r="AU239" s="17">
        <v>53794.0</v>
      </c>
      <c r="AV239" s="19">
        <f t="shared" ref="AV239:AV240" si="386">AR239/(10*AQ239)</f>
        <v>7.441015625</v>
      </c>
      <c r="AW239" s="20">
        <f t="shared" ref="AW239:AW240" si="387">AS239/(10*AQ239)</f>
        <v>10.37075586</v>
      </c>
      <c r="AX239" s="17">
        <v>152308.0</v>
      </c>
      <c r="AY239" s="19">
        <f>21227799/100</f>
        <v>212277.99</v>
      </c>
      <c r="AZ239" s="17">
        <v>212261.0</v>
      </c>
      <c r="BA239" s="17">
        <v>213881.0</v>
      </c>
      <c r="BB239" s="19">
        <f t="shared" ref="BB239:BB240" si="388">AX239/(40*AQ239)</f>
        <v>7.436914063</v>
      </c>
      <c r="BC239" s="20">
        <f t="shared" ref="BC239:BC240" si="389">AY239/(40*AQ239)</f>
        <v>10.36513623</v>
      </c>
      <c r="BD239" s="17">
        <v>304588.0</v>
      </c>
      <c r="BE239" s="19">
        <f>42449981/100</f>
        <v>424499.81</v>
      </c>
      <c r="BF239" s="17">
        <v>424470.0</v>
      </c>
      <c r="BG239" s="17">
        <v>427225.0</v>
      </c>
      <c r="BH239" s="19">
        <f t="shared" ref="BH239:BH240" si="390">BD239/(80*AQ239)</f>
        <v>7.436230469</v>
      </c>
      <c r="BI239" s="20">
        <f t="shared" ref="BI239:BI240" si="391">BE239/(80*AQ239)</f>
        <v>10.36376489</v>
      </c>
      <c r="BJ239" s="17">
        <v>380728.0</v>
      </c>
      <c r="BK239" s="19">
        <f>53040097/100</f>
        <v>530400.97</v>
      </c>
      <c r="BL239" s="17">
        <v>530296.0</v>
      </c>
      <c r="BM239" s="17">
        <v>533531.0</v>
      </c>
      <c r="BN239" s="19">
        <f t="shared" ref="BN239:BN240" si="392">BJ239/(100*AQ239)</f>
        <v>7.43609375</v>
      </c>
      <c r="BO239" s="20">
        <f t="shared" ref="BO239:BO240" si="393">BK239/(100*AQ239)</f>
        <v>10.35939395</v>
      </c>
    </row>
    <row r="240">
      <c r="AO240" s="17" t="s">
        <v>38</v>
      </c>
      <c r="AP240" s="18" t="s">
        <v>85</v>
      </c>
      <c r="AQ240" s="18">
        <v>512.0</v>
      </c>
      <c r="AR240" s="17">
        <v>54205.0</v>
      </c>
      <c r="AS240" s="19">
        <f>7360293/100</f>
        <v>73602.93</v>
      </c>
      <c r="AT240" s="17">
        <v>73590.0</v>
      </c>
      <c r="AU240" s="17">
        <v>74348.0</v>
      </c>
      <c r="AV240" s="19">
        <f t="shared" si="386"/>
        <v>10.58691406</v>
      </c>
      <c r="AW240" s="20">
        <f t="shared" si="387"/>
        <v>14.37557227</v>
      </c>
      <c r="AX240" s="17">
        <v>201133.0</v>
      </c>
      <c r="AY240" s="19">
        <f>27309523/100</f>
        <v>273095.23</v>
      </c>
      <c r="AZ240" s="17">
        <v>273054.0</v>
      </c>
      <c r="BA240" s="17">
        <v>275033.0</v>
      </c>
      <c r="BB240" s="19">
        <f t="shared" si="388"/>
        <v>9.820947266</v>
      </c>
      <c r="BC240" s="20">
        <f t="shared" si="389"/>
        <v>13.33472803</v>
      </c>
      <c r="BD240" s="17">
        <v>397060.0</v>
      </c>
      <c r="BE240" s="19">
        <f>54240283/100</f>
        <v>542402.83</v>
      </c>
      <c r="BF240" s="17">
        <v>542168.0</v>
      </c>
      <c r="BG240" s="17">
        <v>543780.0</v>
      </c>
      <c r="BH240" s="19">
        <f t="shared" si="390"/>
        <v>9.693847656</v>
      </c>
      <c r="BI240" s="20">
        <f t="shared" si="391"/>
        <v>13.24225659</v>
      </c>
      <c r="BJ240" s="17">
        <v>495035.0</v>
      </c>
      <c r="BK240" s="19">
        <f>67802692/100</f>
        <v>678026.92</v>
      </c>
      <c r="BL240" s="17">
        <v>676950.0</v>
      </c>
      <c r="BM240" s="17">
        <v>678728.0</v>
      </c>
      <c r="BN240" s="19">
        <f t="shared" si="392"/>
        <v>9.668652344</v>
      </c>
      <c r="BO240" s="20">
        <f t="shared" si="393"/>
        <v>13.24271328</v>
      </c>
    </row>
    <row r="242">
      <c r="AO242" s="17" t="s">
        <v>35</v>
      </c>
      <c r="AP242" s="18" t="s">
        <v>85</v>
      </c>
      <c r="AQ242" s="18">
        <v>512.0</v>
      </c>
      <c r="AR242" s="4"/>
      <c r="AS242" s="4"/>
      <c r="AT242" s="38">
        <f t="shared" ref="AT242:AW242" si="394">1-AT235/AT239</f>
        <v>0.4438392823</v>
      </c>
      <c r="AU242" s="38">
        <f t="shared" si="394"/>
        <v>0.4345651931</v>
      </c>
      <c r="AV242" s="39">
        <f t="shared" si="394"/>
        <v>0.4409680298</v>
      </c>
      <c r="AW242" s="39">
        <f t="shared" si="394"/>
        <v>0.4434440143</v>
      </c>
      <c r="AX242" s="4"/>
      <c r="AY242" s="4"/>
      <c r="AZ242" s="38">
        <f t="shared" ref="AZ242:BC242" si="395">1-AZ235/AZ239</f>
        <v>0.4437932545</v>
      </c>
      <c r="BA242" s="38">
        <f t="shared" si="395"/>
        <v>0.4395715374</v>
      </c>
      <c r="BB242" s="39">
        <f t="shared" si="395"/>
        <v>0.4412112299</v>
      </c>
      <c r="BC242" s="39">
        <f t="shared" si="395"/>
        <v>0.4437384677</v>
      </c>
      <c r="BD242" s="4"/>
      <c r="BE242" s="4"/>
      <c r="BF242" s="38">
        <f t="shared" ref="BF242:BI242" si="396">1-BF235/BF239</f>
        <v>0.4438570453</v>
      </c>
      <c r="BG242" s="38">
        <f t="shared" si="396"/>
        <v>0.4403534437</v>
      </c>
      <c r="BH242" s="39">
        <f t="shared" si="396"/>
        <v>0.4412517893</v>
      </c>
      <c r="BI242" s="39">
        <f t="shared" si="396"/>
        <v>0.4438139324</v>
      </c>
      <c r="BJ242" s="4"/>
      <c r="BK242" s="4"/>
      <c r="BL242" s="38">
        <f t="shared" ref="BL242:BO242" si="397">1-BL235/BL239</f>
        <v>0.4440652013</v>
      </c>
      <c r="BM242" s="38">
        <f t="shared" si="397"/>
        <v>0.441033417</v>
      </c>
      <c r="BN242" s="39">
        <f t="shared" si="397"/>
        <v>0.4412599021</v>
      </c>
      <c r="BO242" s="39">
        <f t="shared" si="397"/>
        <v>0.4439926081</v>
      </c>
    </row>
    <row r="243">
      <c r="AO243" s="17" t="s">
        <v>38</v>
      </c>
      <c r="AP243" s="18" t="s">
        <v>85</v>
      </c>
      <c r="AQ243" s="18">
        <v>512.0</v>
      </c>
      <c r="AR243" s="4"/>
      <c r="AS243" s="4"/>
      <c r="AT243" s="38">
        <f t="shared" ref="AT243:AW243" si="398">1-AT236/AT240</f>
        <v>0.3196222313</v>
      </c>
      <c r="AU243" s="38">
        <f t="shared" si="398"/>
        <v>0.3124630118</v>
      </c>
      <c r="AV243" s="39">
        <f t="shared" si="398"/>
        <v>0.3099345079</v>
      </c>
      <c r="AW243" s="39">
        <f t="shared" si="398"/>
        <v>0.318986486</v>
      </c>
      <c r="AX243" s="4"/>
      <c r="AY243" s="4"/>
      <c r="AZ243" s="38">
        <f t="shared" ref="AZ243:BC243" si="399">1-AZ236/AZ240</f>
        <v>0.3448512016</v>
      </c>
      <c r="BA243" s="38">
        <f t="shared" si="399"/>
        <v>0.3413408573</v>
      </c>
      <c r="BB243" s="39">
        <f t="shared" si="399"/>
        <v>0.3341072822</v>
      </c>
      <c r="BC243" s="39">
        <f t="shared" si="399"/>
        <v>0.3446687077</v>
      </c>
      <c r="BD243" s="4"/>
      <c r="BE243" s="4"/>
      <c r="BF243" s="38">
        <f t="shared" ref="BF243:BI243" si="400">1-BF236/BF240</f>
        <v>0.34734621</v>
      </c>
      <c r="BG243" s="38">
        <f t="shared" si="400"/>
        <v>0.3465463974</v>
      </c>
      <c r="BH243" s="39">
        <f t="shared" si="400"/>
        <v>0.338487886</v>
      </c>
      <c r="BI243" s="39">
        <f t="shared" si="400"/>
        <v>0.3472015808</v>
      </c>
      <c r="BJ243" s="4"/>
      <c r="BK243" s="4"/>
      <c r="BL243" s="38">
        <f t="shared" ref="BL243:BO243" si="401">1-BL236/BL240</f>
        <v>0.3465218997</v>
      </c>
      <c r="BM243" s="38">
        <f t="shared" si="401"/>
        <v>0.3463007272</v>
      </c>
      <c r="BN243" s="39">
        <f t="shared" si="401"/>
        <v>0.3393699435</v>
      </c>
      <c r="BO243" s="39">
        <f t="shared" si="401"/>
        <v>0.346979527</v>
      </c>
    </row>
    <row r="250">
      <c r="AR250" s="76" t="s">
        <v>86</v>
      </c>
      <c r="AS250" s="13"/>
      <c r="AT250" s="13"/>
      <c r="AU250" s="13"/>
      <c r="AV250" s="13"/>
      <c r="AW250" s="14"/>
    </row>
    <row r="251">
      <c r="AR251" s="77" t="s">
        <v>67</v>
      </c>
      <c r="AS251" s="14"/>
      <c r="AT251" s="78" t="s">
        <v>58</v>
      </c>
      <c r="AU251" s="14"/>
      <c r="AV251" s="79" t="s">
        <v>0</v>
      </c>
      <c r="AW251" s="14"/>
    </row>
    <row r="252">
      <c r="AR252" s="80" t="s">
        <v>10</v>
      </c>
      <c r="AS252" s="81" t="s">
        <v>87</v>
      </c>
      <c r="AT252" s="80" t="s">
        <v>10</v>
      </c>
      <c r="AU252" s="81" t="s">
        <v>87</v>
      </c>
      <c r="AV252" s="80" t="s">
        <v>10</v>
      </c>
      <c r="AW252" s="81" t="s">
        <v>87</v>
      </c>
    </row>
    <row r="253">
      <c r="AO253" s="17" t="s">
        <v>35</v>
      </c>
      <c r="AP253" s="18" t="s">
        <v>85</v>
      </c>
      <c r="AQ253" s="18">
        <v>512.0</v>
      </c>
      <c r="AR253" s="38">
        <f t="shared" ref="AR253:AS253" si="402">BN242</f>
        <v>0.4412599021</v>
      </c>
      <c r="AS253" s="38">
        <f t="shared" si="402"/>
        <v>0.4439926081</v>
      </c>
      <c r="AT253" s="38">
        <f t="shared" ref="AT253:AU253" si="403">BN223</f>
        <v>0.7318968414</v>
      </c>
      <c r="AU253" s="38">
        <f t="shared" si="403"/>
        <v>0.7638681638</v>
      </c>
      <c r="AV253" s="38">
        <f t="shared" ref="AV253:AW253" si="404">BN204</f>
        <v>0.4850550603</v>
      </c>
      <c r="AW253" s="38">
        <f t="shared" si="404"/>
        <v>0.4385044486</v>
      </c>
    </row>
    <row r="254">
      <c r="AO254" s="17" t="s">
        <v>38</v>
      </c>
      <c r="AP254" s="18" t="s">
        <v>85</v>
      </c>
      <c r="AQ254" s="18">
        <v>512.0</v>
      </c>
      <c r="AR254" s="38">
        <f t="shared" ref="AR254:AS254" si="405">BN243</f>
        <v>0.3393699435</v>
      </c>
      <c r="AS254" s="38">
        <f t="shared" si="405"/>
        <v>0.346979527</v>
      </c>
      <c r="AT254" s="38">
        <f t="shared" ref="AT254:AU254" si="406">BN224</f>
        <v>0.5615850072</v>
      </c>
      <c r="AU254" s="38">
        <f t="shared" si="406"/>
        <v>0.593856375</v>
      </c>
      <c r="AV254" s="38">
        <f t="shared" ref="AV254:AW254" si="407">BN205</f>
        <v>0.3083254276</v>
      </c>
      <c r="AW254" s="38">
        <f t="shared" si="407"/>
        <v>0.2620730629</v>
      </c>
    </row>
    <row r="287">
      <c r="BU287" s="3" t="s">
        <v>88</v>
      </c>
    </row>
  </sheetData>
  <mergeCells count="136">
    <mergeCell ref="BP10:BU10"/>
    <mergeCell ref="CB10:CG10"/>
    <mergeCell ref="CH10:CM10"/>
    <mergeCell ref="CN10:CS10"/>
    <mergeCell ref="CZ10:DE10"/>
    <mergeCell ref="Q2:T2"/>
    <mergeCell ref="AR8:BO9"/>
    <mergeCell ref="CB8:CY9"/>
    <mergeCell ref="M10:R10"/>
    <mergeCell ref="S10:X10"/>
    <mergeCell ref="Y10:AD10"/>
    <mergeCell ref="AE10:AJ10"/>
    <mergeCell ref="CT10:CY10"/>
    <mergeCell ref="AR10:AW10"/>
    <mergeCell ref="AX10:BC10"/>
    <mergeCell ref="G16:L16"/>
    <mergeCell ref="M16:R16"/>
    <mergeCell ref="S16:X16"/>
    <mergeCell ref="Y16:AD16"/>
    <mergeCell ref="AE16:AJ16"/>
    <mergeCell ref="CN16:CS16"/>
    <mergeCell ref="CT16:CY16"/>
    <mergeCell ref="CZ16:DE16"/>
    <mergeCell ref="CB33:CY34"/>
    <mergeCell ref="CB35:CG35"/>
    <mergeCell ref="CH35:CM35"/>
    <mergeCell ref="CN35:CS35"/>
    <mergeCell ref="CT35:CY35"/>
    <mergeCell ref="AR16:AW16"/>
    <mergeCell ref="AX16:BC16"/>
    <mergeCell ref="BD16:BI16"/>
    <mergeCell ref="BJ16:BO16"/>
    <mergeCell ref="BP16:BU16"/>
    <mergeCell ref="CB16:CG16"/>
    <mergeCell ref="CH16:CM16"/>
    <mergeCell ref="BD10:BI10"/>
    <mergeCell ref="BJ10:BO10"/>
    <mergeCell ref="AR33:BO34"/>
    <mergeCell ref="AR35:AW35"/>
    <mergeCell ref="AX35:BC35"/>
    <mergeCell ref="BD35:BI35"/>
    <mergeCell ref="BJ35:BO35"/>
    <mergeCell ref="AX41:BC41"/>
    <mergeCell ref="BD41:BI41"/>
    <mergeCell ref="BJ41:BO41"/>
    <mergeCell ref="CB41:CG41"/>
    <mergeCell ref="CH41:CM41"/>
    <mergeCell ref="CN41:CS41"/>
    <mergeCell ref="CT41:CY41"/>
    <mergeCell ref="CB60:CG60"/>
    <mergeCell ref="CH60:CM60"/>
    <mergeCell ref="CB66:CG66"/>
    <mergeCell ref="CH66:CM66"/>
    <mergeCell ref="CN66:CS66"/>
    <mergeCell ref="CT66:CY66"/>
    <mergeCell ref="CN60:CS60"/>
    <mergeCell ref="CT60:CY60"/>
    <mergeCell ref="AR41:AW41"/>
    <mergeCell ref="M42:R42"/>
    <mergeCell ref="AE42:AJ42"/>
    <mergeCell ref="AR58:BO59"/>
    <mergeCell ref="CB58:CY59"/>
    <mergeCell ref="AR60:AW60"/>
    <mergeCell ref="AX60:BC60"/>
    <mergeCell ref="BD60:BI60"/>
    <mergeCell ref="BJ60:BO60"/>
    <mergeCell ref="AR66:AW66"/>
    <mergeCell ref="AX66:BC66"/>
    <mergeCell ref="BD66:BI66"/>
    <mergeCell ref="M68:R68"/>
    <mergeCell ref="AE68:AJ68"/>
    <mergeCell ref="AX92:BC92"/>
    <mergeCell ref="BD92:BI92"/>
    <mergeCell ref="M94:R94"/>
    <mergeCell ref="AE94:AJ94"/>
    <mergeCell ref="AX117:BC117"/>
    <mergeCell ref="BD117:BI117"/>
    <mergeCell ref="BJ199:BO199"/>
    <mergeCell ref="AR212:BO213"/>
    <mergeCell ref="AR214:AW214"/>
    <mergeCell ref="AX214:BC214"/>
    <mergeCell ref="BD214:BI214"/>
    <mergeCell ref="BJ214:BO214"/>
    <mergeCell ref="AR218:AW218"/>
    <mergeCell ref="BJ218:BO218"/>
    <mergeCell ref="AR231:BO232"/>
    <mergeCell ref="AR233:AW233"/>
    <mergeCell ref="AX233:BC233"/>
    <mergeCell ref="BD233:BI233"/>
    <mergeCell ref="BJ233:BO233"/>
    <mergeCell ref="AR237:AW237"/>
    <mergeCell ref="BJ237:BO237"/>
    <mergeCell ref="BJ66:BO66"/>
    <mergeCell ref="AR84:BO85"/>
    <mergeCell ref="AR86:AW86"/>
    <mergeCell ref="AX86:BC86"/>
    <mergeCell ref="BD86:BI86"/>
    <mergeCell ref="BJ86:BO86"/>
    <mergeCell ref="AR92:AW92"/>
    <mergeCell ref="BJ92:BO92"/>
    <mergeCell ref="AR109:BO110"/>
    <mergeCell ref="AR111:AW111"/>
    <mergeCell ref="AX111:BC111"/>
    <mergeCell ref="BD111:BI111"/>
    <mergeCell ref="BJ111:BO111"/>
    <mergeCell ref="AR117:AW117"/>
    <mergeCell ref="BJ117:BO117"/>
    <mergeCell ref="AR134:BO135"/>
    <mergeCell ref="AR136:AW136"/>
    <mergeCell ref="AX136:BC136"/>
    <mergeCell ref="BD136:BI136"/>
    <mergeCell ref="BJ136:BO136"/>
    <mergeCell ref="AR142:AW142"/>
    <mergeCell ref="BJ142:BO142"/>
    <mergeCell ref="AX142:BC142"/>
    <mergeCell ref="BD142:BI142"/>
    <mergeCell ref="AR165:AW165"/>
    <mergeCell ref="AR166:AS166"/>
    <mergeCell ref="AT166:AU166"/>
    <mergeCell ref="AV166:AW166"/>
    <mergeCell ref="AR193:BO194"/>
    <mergeCell ref="AR195:AW195"/>
    <mergeCell ref="AX195:BC195"/>
    <mergeCell ref="BD195:BI195"/>
    <mergeCell ref="BJ195:BO195"/>
    <mergeCell ref="AR199:AW199"/>
    <mergeCell ref="AX199:BC199"/>
    <mergeCell ref="BD199:BI199"/>
    <mergeCell ref="AX218:BC218"/>
    <mergeCell ref="BD218:BI218"/>
    <mergeCell ref="AX237:BC237"/>
    <mergeCell ref="BD237:BI237"/>
    <mergeCell ref="AR250:AW250"/>
    <mergeCell ref="AR251:AS251"/>
    <mergeCell ref="AT251:AU251"/>
    <mergeCell ref="AV251:AW25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75"/>
    <col customWidth="1" min="3" max="3" width="34.0"/>
    <col customWidth="1" min="4" max="4" width="19.38"/>
    <col customWidth="1" min="5" max="5" width="17.88"/>
    <col customWidth="1" min="6" max="6" width="14.88"/>
    <col customWidth="1" min="7" max="7" width="16.88"/>
    <col customWidth="1" min="8" max="8" width="17.5"/>
  </cols>
  <sheetData>
    <row r="3">
      <c r="D3" s="76" t="s">
        <v>89</v>
      </c>
      <c r="E3" s="13"/>
      <c r="F3" s="14"/>
      <c r="H3" s="83" t="s">
        <v>90</v>
      </c>
      <c r="I3" s="14"/>
      <c r="W3" s="76" t="s">
        <v>91</v>
      </c>
      <c r="X3" s="13"/>
      <c r="Y3" s="14"/>
      <c r="AA3" s="3" t="s">
        <v>90</v>
      </c>
    </row>
    <row r="4">
      <c r="D4" s="84" t="s">
        <v>92</v>
      </c>
      <c r="E4" s="84" t="s">
        <v>93</v>
      </c>
      <c r="F4" s="84" t="s">
        <v>94</v>
      </c>
      <c r="H4" s="17" t="s">
        <v>95</v>
      </c>
      <c r="I4" s="17" t="s">
        <v>96</v>
      </c>
      <c r="W4" s="84" t="s">
        <v>92</v>
      </c>
      <c r="X4" s="84" t="s">
        <v>93</v>
      </c>
      <c r="Y4" s="84" t="s">
        <v>94</v>
      </c>
      <c r="AA4" s="3" t="s">
        <v>95</v>
      </c>
      <c r="AB4" s="3" t="s">
        <v>96</v>
      </c>
    </row>
    <row r="5">
      <c r="C5" s="85" t="s">
        <v>97</v>
      </c>
      <c r="D5" s="85">
        <v>0.0</v>
      </c>
      <c r="E5" s="85">
        <v>0.0</v>
      </c>
      <c r="F5" s="85">
        <v>0.0</v>
      </c>
      <c r="H5" s="85">
        <v>6.0</v>
      </c>
      <c r="I5" s="85">
        <v>1.0</v>
      </c>
      <c r="V5" s="85" t="s">
        <v>97</v>
      </c>
      <c r="W5" s="85">
        <v>0.0</v>
      </c>
      <c r="X5" s="85">
        <v>0.0</v>
      </c>
      <c r="Y5" s="85">
        <v>0.0</v>
      </c>
      <c r="AA5" s="86">
        <f>71</f>
        <v>71</v>
      </c>
      <c r="AB5" s="87">
        <v>8.0</v>
      </c>
    </row>
    <row r="6">
      <c r="C6" s="88" t="s">
        <v>98</v>
      </c>
      <c r="D6" s="89">
        <f>25 + 18 * 9</f>
        <v>187</v>
      </c>
      <c r="E6" s="89">
        <f>25 + 18 * 11</f>
        <v>223</v>
      </c>
      <c r="F6" s="89">
        <f>25 + 18 * 13</f>
        <v>259</v>
      </c>
      <c r="H6" s="89">
        <f>71</f>
        <v>71</v>
      </c>
      <c r="I6" s="88">
        <v>8.0</v>
      </c>
      <c r="V6" s="88" t="s">
        <v>98</v>
      </c>
      <c r="W6" s="89">
        <f>25 + 18 * 9</f>
        <v>187</v>
      </c>
      <c r="X6" s="89">
        <f>25 + 18 * 11</f>
        <v>223</v>
      </c>
      <c r="Y6" s="89">
        <f>25 + 18 * 13</f>
        <v>259</v>
      </c>
      <c r="AA6" s="87">
        <v>0.0</v>
      </c>
      <c r="AB6" s="87">
        <v>0.0</v>
      </c>
    </row>
    <row r="7">
      <c r="C7" s="85" t="s">
        <v>99</v>
      </c>
      <c r="D7" s="90">
        <f> 8 +4 * 9</f>
        <v>44</v>
      </c>
      <c r="E7" s="90">
        <f> 8 +4 * 11</f>
        <v>52</v>
      </c>
      <c r="F7" s="90">
        <f> 8 +4 * 13</f>
        <v>60</v>
      </c>
      <c r="H7" s="85">
        <v>11.0</v>
      </c>
      <c r="I7" s="85">
        <v>2.0</v>
      </c>
      <c r="V7" s="85" t="s">
        <v>99</v>
      </c>
      <c r="W7" s="90">
        <f> 8 +4 * 9</f>
        <v>44</v>
      </c>
      <c r="X7" s="90">
        <f> 8 +4 * 11</f>
        <v>52</v>
      </c>
      <c r="Y7" s="90">
        <f> 8 +4 * 13</f>
        <v>60</v>
      </c>
      <c r="AA7" s="91">
        <v>15.0</v>
      </c>
      <c r="AB7" s="91">
        <v>1.0</v>
      </c>
    </row>
    <row r="8">
      <c r="C8" s="17" t="s">
        <v>100</v>
      </c>
      <c r="D8" s="17">
        <v>0.0</v>
      </c>
      <c r="E8" s="17">
        <v>0.0</v>
      </c>
      <c r="F8" s="17">
        <v>0.0</v>
      </c>
      <c r="H8" s="88">
        <v>16.0</v>
      </c>
      <c r="I8" s="88">
        <v>3.0</v>
      </c>
      <c r="V8" s="17" t="s">
        <v>100</v>
      </c>
      <c r="W8" s="17">
        <v>0.0</v>
      </c>
      <c r="X8" s="17">
        <v>0.0</v>
      </c>
      <c r="Y8" s="17">
        <v>0.0</v>
      </c>
      <c r="AA8" s="86">
        <f>17</f>
        <v>17</v>
      </c>
      <c r="AB8" s="87">
        <v>4.0</v>
      </c>
    </row>
    <row r="9">
      <c r="C9" s="85" t="s">
        <v>101</v>
      </c>
      <c r="D9" s="85">
        <v>1.0</v>
      </c>
      <c r="E9" s="85">
        <v>1.0</v>
      </c>
      <c r="F9" s="85">
        <v>1.0</v>
      </c>
      <c r="G9" s="92"/>
      <c r="H9" s="90">
        <f>17</f>
        <v>17</v>
      </c>
      <c r="I9" s="85">
        <v>4.0</v>
      </c>
      <c r="V9" s="85" t="s">
        <v>101</v>
      </c>
      <c r="W9" s="85">
        <v>1.0</v>
      </c>
      <c r="X9" s="85">
        <v>1.0</v>
      </c>
      <c r="Y9" s="85">
        <v>1.0</v>
      </c>
      <c r="AA9" s="87">
        <v>0.0</v>
      </c>
      <c r="AB9" s="87">
        <v>0.0</v>
      </c>
    </row>
    <row r="10">
      <c r="C10" s="88" t="s">
        <v>102</v>
      </c>
      <c r="D10" s="88">
        <v>0.0</v>
      </c>
      <c r="E10" s="88">
        <v>0.0</v>
      </c>
      <c r="F10" s="88">
        <v>0.0</v>
      </c>
      <c r="H10" s="88">
        <v>5.0</v>
      </c>
      <c r="I10" s="88">
        <v>1.0</v>
      </c>
      <c r="V10" s="88" t="s">
        <v>102</v>
      </c>
      <c r="W10" s="88">
        <v>0.0</v>
      </c>
      <c r="X10" s="88">
        <v>0.0</v>
      </c>
      <c r="Y10" s="88">
        <v>0.0</v>
      </c>
      <c r="AA10" s="87">
        <v>8.0</v>
      </c>
      <c r="AB10" s="87">
        <v>1.0</v>
      </c>
    </row>
    <row r="11">
      <c r="C11" s="85" t="s">
        <v>103</v>
      </c>
      <c r="D11" s="85">
        <v>0.0</v>
      </c>
      <c r="E11" s="85">
        <v>0.0</v>
      </c>
      <c r="F11" s="85">
        <v>0.0</v>
      </c>
      <c r="H11" s="85">
        <v>16.0</v>
      </c>
      <c r="I11" s="85">
        <v>3.0</v>
      </c>
      <c r="V11" s="85" t="s">
        <v>103</v>
      </c>
      <c r="W11" s="85">
        <v>0.0</v>
      </c>
      <c r="X11" s="85">
        <v>0.0</v>
      </c>
      <c r="Y11" s="85">
        <v>0.0</v>
      </c>
      <c r="AA11" s="87">
        <v>11.0</v>
      </c>
      <c r="AB11" s="87">
        <v>2.0</v>
      </c>
    </row>
    <row r="12">
      <c r="C12" s="88" t="s">
        <v>104</v>
      </c>
      <c r="D12" s="88">
        <v>1.0</v>
      </c>
      <c r="E12" s="88">
        <v>1.0</v>
      </c>
      <c r="F12" s="88">
        <v>1.0</v>
      </c>
      <c r="H12" s="88">
        <v>0.0</v>
      </c>
      <c r="I12" s="88">
        <v>0.0</v>
      </c>
      <c r="V12" s="88" t="s">
        <v>104</v>
      </c>
      <c r="W12" s="88">
        <v>1.0</v>
      </c>
      <c r="X12" s="88">
        <v>1.0</v>
      </c>
      <c r="Y12" s="88">
        <v>1.0</v>
      </c>
      <c r="AA12" s="87">
        <v>20.0</v>
      </c>
      <c r="AB12" s="87">
        <v>4.0</v>
      </c>
    </row>
    <row r="13">
      <c r="C13" s="85" t="s">
        <v>105</v>
      </c>
      <c r="D13" s="90">
        <f>32 + 32 * 9</f>
        <v>320</v>
      </c>
      <c r="E13" s="90">
        <f>32 + 32 * 11</f>
        <v>384</v>
      </c>
      <c r="F13" s="90">
        <f>32 + 32 * 13</f>
        <v>448</v>
      </c>
      <c r="H13" s="85">
        <v>20.0</v>
      </c>
      <c r="I13" s="85">
        <v>4.0</v>
      </c>
      <c r="V13" s="85" t="s">
        <v>105</v>
      </c>
      <c r="W13" s="90">
        <f>32 + 32 * 9</f>
        <v>320</v>
      </c>
      <c r="X13" s="90">
        <f>32 + 32 * 11</f>
        <v>384</v>
      </c>
      <c r="Y13" s="90">
        <f>32 + 32 * 13</f>
        <v>448</v>
      </c>
      <c r="AA13" s="93">
        <f>22</f>
        <v>22</v>
      </c>
      <c r="AB13" s="91">
        <v>3.0</v>
      </c>
    </row>
    <row r="14">
      <c r="C14" s="88" t="s">
        <v>106</v>
      </c>
      <c r="D14" s="89">
        <f>25+8*9</f>
        <v>97</v>
      </c>
      <c r="E14" s="89">
        <f>25+8*11</f>
        <v>113</v>
      </c>
      <c r="F14" s="89">
        <f>25+8*13</f>
        <v>129</v>
      </c>
      <c r="H14" s="94">
        <f>22</f>
        <v>22</v>
      </c>
      <c r="I14" s="88">
        <v>3.0</v>
      </c>
      <c r="V14" s="88" t="s">
        <v>106</v>
      </c>
      <c r="W14" s="89">
        <f>25+8*9</f>
        <v>97</v>
      </c>
      <c r="X14" s="89">
        <f>25+8*11</f>
        <v>113</v>
      </c>
      <c r="Y14" s="89">
        <f>25+8*13</f>
        <v>129</v>
      </c>
      <c r="AA14" s="87">
        <v>14.0</v>
      </c>
      <c r="AB14" s="87">
        <v>0.0</v>
      </c>
    </row>
    <row r="15">
      <c r="C15" s="85" t="s">
        <v>107</v>
      </c>
      <c r="D15" s="85">
        <v>2.0</v>
      </c>
      <c r="E15" s="85">
        <v>2.0</v>
      </c>
      <c r="F15" s="85">
        <v>2.0</v>
      </c>
      <c r="H15" s="85">
        <v>14.0</v>
      </c>
      <c r="I15" s="85">
        <v>0.0</v>
      </c>
      <c r="V15" s="85" t="s">
        <v>107</v>
      </c>
      <c r="W15" s="85">
        <v>2.0</v>
      </c>
      <c r="X15" s="85">
        <v>2.0</v>
      </c>
      <c r="Y15" s="85">
        <v>2.0</v>
      </c>
      <c r="AA15" s="87">
        <v>3.0</v>
      </c>
      <c r="AB15" s="87">
        <v>0.0</v>
      </c>
    </row>
    <row r="16">
      <c r="C16" s="88" t="s">
        <v>108</v>
      </c>
      <c r="D16" s="89">
        <f>28+28*9</f>
        <v>280</v>
      </c>
      <c r="E16" s="89">
        <f>28+28*11</f>
        <v>336</v>
      </c>
      <c r="F16" s="89">
        <f>28+28*13</f>
        <v>392</v>
      </c>
      <c r="H16" s="88">
        <v>0.0</v>
      </c>
      <c r="I16" s="88">
        <v>0.0</v>
      </c>
      <c r="K16" s="95"/>
      <c r="V16" s="88" t="s">
        <v>108</v>
      </c>
      <c r="W16" s="89">
        <f>28+28*9</f>
        <v>280</v>
      </c>
      <c r="X16" s="89">
        <f>28+28*11</f>
        <v>336</v>
      </c>
      <c r="Y16" s="89">
        <f>28+28*13</f>
        <v>392</v>
      </c>
      <c r="AA16" s="87">
        <v>1.0</v>
      </c>
      <c r="AB16" s="87">
        <v>0.0</v>
      </c>
    </row>
    <row r="17">
      <c r="C17" s="85" t="s">
        <v>109</v>
      </c>
      <c r="D17" s="90">
        <f>17+4*9</f>
        <v>53</v>
      </c>
      <c r="E17" s="90">
        <f>17+4*11</f>
        <v>61</v>
      </c>
      <c r="F17" s="90">
        <f>17+4*13</f>
        <v>69</v>
      </c>
      <c r="H17" s="96">
        <v>15.0</v>
      </c>
      <c r="I17" s="85">
        <v>1.0</v>
      </c>
      <c r="V17" s="85" t="s">
        <v>109</v>
      </c>
      <c r="W17" s="90">
        <f>17+4*9</f>
        <v>53</v>
      </c>
      <c r="X17" s="90">
        <f>17+4*11</f>
        <v>61</v>
      </c>
      <c r="Y17" s="90">
        <f>17+4*13</f>
        <v>69</v>
      </c>
      <c r="AA17" s="87">
        <v>3.0</v>
      </c>
      <c r="AB17" s="87">
        <v>0.0</v>
      </c>
    </row>
    <row r="18">
      <c r="C18" s="88" t="s">
        <v>110</v>
      </c>
      <c r="D18" s="88">
        <f>6 + 9</f>
        <v>15</v>
      </c>
      <c r="E18" s="88">
        <f>6 + 11</f>
        <v>17</v>
      </c>
      <c r="F18" s="88">
        <f>6 + 13</f>
        <v>19</v>
      </c>
      <c r="H18" s="88">
        <v>8.0</v>
      </c>
      <c r="I18" s="88">
        <v>1.0</v>
      </c>
      <c r="V18" s="88" t="s">
        <v>110</v>
      </c>
      <c r="W18" s="88">
        <f>6 + 9</f>
        <v>15</v>
      </c>
      <c r="X18" s="88">
        <f>6 + 11</f>
        <v>17</v>
      </c>
      <c r="Y18" s="88">
        <f>6 + 13</f>
        <v>19</v>
      </c>
      <c r="AA18" s="87">
        <v>2.0</v>
      </c>
      <c r="AB18" s="87">
        <v>0.0</v>
      </c>
    </row>
    <row r="19">
      <c r="C19" s="85" t="s">
        <v>111</v>
      </c>
      <c r="D19" s="85">
        <v>1.0</v>
      </c>
      <c r="E19" s="85">
        <v>1.0</v>
      </c>
      <c r="F19" s="85">
        <v>1.0</v>
      </c>
      <c r="H19" s="85">
        <v>2.0</v>
      </c>
      <c r="I19" s="85">
        <v>0.0</v>
      </c>
      <c r="V19" s="85" t="s">
        <v>111</v>
      </c>
      <c r="W19" s="85">
        <v>1.0</v>
      </c>
      <c r="X19" s="85">
        <v>1.0</v>
      </c>
      <c r="Y19" s="85">
        <v>1.0</v>
      </c>
      <c r="AA19" s="87">
        <v>2.0</v>
      </c>
      <c r="AB19" s="87">
        <v>0.0</v>
      </c>
    </row>
    <row r="20">
      <c r="C20" s="17" t="s">
        <v>112</v>
      </c>
      <c r="D20" s="17">
        <v>0.0</v>
      </c>
      <c r="E20" s="17">
        <v>0.0</v>
      </c>
      <c r="F20" s="17">
        <v>0.0</v>
      </c>
      <c r="H20" s="88">
        <v>4.0</v>
      </c>
      <c r="I20" s="88">
        <v>1.0</v>
      </c>
      <c r="V20" s="17" t="s">
        <v>112</v>
      </c>
      <c r="W20" s="17">
        <v>0.0</v>
      </c>
      <c r="X20" s="17">
        <v>0.0</v>
      </c>
      <c r="Y20" s="17">
        <v>0.0</v>
      </c>
      <c r="AA20" s="87">
        <v>6.0</v>
      </c>
      <c r="AB20" s="87">
        <v>0.0</v>
      </c>
    </row>
    <row r="21">
      <c r="C21" s="85" t="s">
        <v>113</v>
      </c>
      <c r="D21" s="85">
        <v>0.0</v>
      </c>
      <c r="E21" s="85">
        <v>0.0</v>
      </c>
      <c r="F21" s="85">
        <v>0.0</v>
      </c>
      <c r="H21" s="85">
        <v>6.0</v>
      </c>
      <c r="I21" s="85">
        <v>0.0</v>
      </c>
      <c r="V21" s="85" t="s">
        <v>113</v>
      </c>
      <c r="W21" s="85">
        <v>0.0</v>
      </c>
      <c r="X21" s="85">
        <v>0.0</v>
      </c>
      <c r="Y21" s="85">
        <v>0.0</v>
      </c>
      <c r="AA21" s="87">
        <v>0.0</v>
      </c>
      <c r="AB21" s="87">
        <v>0.0</v>
      </c>
    </row>
    <row r="22">
      <c r="C22" s="17" t="s">
        <v>114</v>
      </c>
      <c r="D22" s="17">
        <v>0.0</v>
      </c>
      <c r="E22" s="17">
        <v>0.0</v>
      </c>
      <c r="F22" s="17">
        <v>0.0</v>
      </c>
      <c r="H22" s="88">
        <v>3.0</v>
      </c>
      <c r="I22" s="88">
        <v>0.0</v>
      </c>
      <c r="V22" s="17" t="s">
        <v>114</v>
      </c>
      <c r="W22" s="17">
        <v>0.0</v>
      </c>
      <c r="X22" s="17">
        <v>0.0</v>
      </c>
      <c r="Y22" s="17">
        <v>0.0</v>
      </c>
      <c r="AA22" s="87">
        <v>5.0</v>
      </c>
      <c r="AB22" s="87">
        <v>1.0</v>
      </c>
    </row>
    <row r="23">
      <c r="C23" s="85" t="s">
        <v>115</v>
      </c>
      <c r="D23" s="85">
        <v>1.0</v>
      </c>
      <c r="E23" s="85">
        <v>1.0</v>
      </c>
      <c r="F23" s="85">
        <v>1.0</v>
      </c>
      <c r="H23" s="85">
        <v>2.0</v>
      </c>
      <c r="I23" s="85">
        <v>0.0</v>
      </c>
      <c r="V23" s="85" t="s">
        <v>115</v>
      </c>
      <c r="W23" s="85">
        <v>1.0</v>
      </c>
      <c r="X23" s="85">
        <v>1.0</v>
      </c>
      <c r="Y23" s="85">
        <v>1.0</v>
      </c>
      <c r="AA23" s="87">
        <v>6.0</v>
      </c>
      <c r="AB23" s="87">
        <v>2.0</v>
      </c>
    </row>
    <row r="24">
      <c r="C24" s="17" t="s">
        <v>116</v>
      </c>
      <c r="D24" s="17">
        <v>0.0</v>
      </c>
      <c r="E24" s="17">
        <v>0.0</v>
      </c>
      <c r="F24" s="17">
        <v>0.0</v>
      </c>
      <c r="H24" s="88">
        <v>4.0</v>
      </c>
      <c r="I24" s="88">
        <v>1.0</v>
      </c>
      <c r="V24" s="17" t="s">
        <v>116</v>
      </c>
      <c r="W24" s="17">
        <v>0.0</v>
      </c>
      <c r="X24" s="17">
        <v>0.0</v>
      </c>
      <c r="Y24" s="17">
        <v>0.0</v>
      </c>
      <c r="AA24" s="87">
        <v>15.0</v>
      </c>
      <c r="AB24" s="87">
        <v>3.0</v>
      </c>
    </row>
    <row r="25">
      <c r="C25" s="85" t="s">
        <v>117</v>
      </c>
      <c r="D25" s="85">
        <v>0.0</v>
      </c>
      <c r="E25" s="85">
        <v>0.0</v>
      </c>
      <c r="F25" s="85">
        <v>0.0</v>
      </c>
      <c r="H25" s="85">
        <v>3.0</v>
      </c>
      <c r="I25" s="85">
        <v>0.0</v>
      </c>
      <c r="V25" s="85" t="s">
        <v>117</v>
      </c>
      <c r="W25" s="85">
        <v>0.0</v>
      </c>
      <c r="X25" s="85">
        <v>0.0</v>
      </c>
      <c r="Y25" s="85">
        <v>0.0</v>
      </c>
      <c r="AA25" s="87">
        <v>16.0</v>
      </c>
      <c r="AB25" s="87">
        <v>3.0</v>
      </c>
    </row>
    <row r="26">
      <c r="C26" s="17" t="s">
        <v>118</v>
      </c>
      <c r="D26" s="17">
        <v>2.0</v>
      </c>
      <c r="E26" s="17">
        <v>2.0</v>
      </c>
      <c r="F26" s="17">
        <v>2.0</v>
      </c>
      <c r="H26" s="88">
        <v>0.0</v>
      </c>
      <c r="I26" s="88">
        <v>0.0</v>
      </c>
      <c r="V26" s="17" t="s">
        <v>118</v>
      </c>
      <c r="W26" s="17">
        <v>2.0</v>
      </c>
      <c r="X26" s="17">
        <v>2.0</v>
      </c>
      <c r="Y26" s="17">
        <v>2.0</v>
      </c>
      <c r="AA26" s="87">
        <v>16.0</v>
      </c>
      <c r="AB26" s="87">
        <v>3.0</v>
      </c>
    </row>
    <row r="27">
      <c r="C27" s="85" t="s">
        <v>119</v>
      </c>
      <c r="D27" s="85">
        <v>3.0</v>
      </c>
      <c r="E27" s="85">
        <v>3.0</v>
      </c>
      <c r="F27" s="85">
        <v>3.0</v>
      </c>
      <c r="H27" s="85">
        <v>1.0</v>
      </c>
      <c r="I27" s="85">
        <v>0.0</v>
      </c>
      <c r="V27" s="85" t="s">
        <v>119</v>
      </c>
      <c r="W27" s="85">
        <v>3.0</v>
      </c>
      <c r="X27" s="85">
        <v>3.0</v>
      </c>
      <c r="Y27" s="85">
        <v>3.0</v>
      </c>
      <c r="AA27" s="87">
        <v>4.0</v>
      </c>
      <c r="AB27" s="87">
        <v>1.0</v>
      </c>
    </row>
    <row r="28">
      <c r="C28" s="88" t="s">
        <v>120</v>
      </c>
      <c r="D28" s="88">
        <v>1.0</v>
      </c>
      <c r="E28" s="88">
        <v>1.0</v>
      </c>
      <c r="F28" s="88">
        <v>1.0</v>
      </c>
      <c r="H28" s="88">
        <v>3.0</v>
      </c>
      <c r="I28" s="88">
        <v>0.0</v>
      </c>
      <c r="V28" s="88" t="s">
        <v>120</v>
      </c>
      <c r="W28" s="88">
        <v>1.0</v>
      </c>
      <c r="X28" s="88">
        <v>1.0</v>
      </c>
      <c r="Y28" s="88">
        <v>1.0</v>
      </c>
      <c r="AA28" s="87">
        <v>4.0</v>
      </c>
      <c r="AB28" s="87">
        <v>1.0</v>
      </c>
    </row>
    <row r="29">
      <c r="C29" s="85" t="s">
        <v>121</v>
      </c>
      <c r="D29" s="85">
        <v>0.0</v>
      </c>
      <c r="E29" s="85">
        <v>0.0</v>
      </c>
      <c r="F29" s="85">
        <v>0.0</v>
      </c>
      <c r="H29" s="85">
        <v>15.0</v>
      </c>
      <c r="I29" s="85">
        <v>3.0</v>
      </c>
      <c r="V29" s="85" t="s">
        <v>121</v>
      </c>
      <c r="W29" s="85">
        <v>0.0</v>
      </c>
      <c r="X29" s="85">
        <v>0.0</v>
      </c>
      <c r="Y29" s="85">
        <v>0.0</v>
      </c>
      <c r="AA29" s="87">
        <v>3.0</v>
      </c>
      <c r="AB29" s="87">
        <v>0.0</v>
      </c>
    </row>
    <row r="39">
      <c r="E39" s="76" t="s">
        <v>91</v>
      </c>
      <c r="F39" s="13"/>
      <c r="G39" s="14"/>
    </row>
    <row r="40">
      <c r="E40" s="84" t="s">
        <v>92</v>
      </c>
      <c r="F40" s="84" t="s">
        <v>93</v>
      </c>
      <c r="G40" s="84" t="s">
        <v>94</v>
      </c>
    </row>
    <row r="41">
      <c r="D41" s="85" t="s">
        <v>97</v>
      </c>
      <c r="E41" s="90">
        <f t="shared" ref="E41:E65" si="1">D5+H5+I5*39</f>
        <v>45</v>
      </c>
      <c r="F41" s="90">
        <f t="shared" ref="F41:F65" si="2">E5+H5+I5*47</f>
        <v>53</v>
      </c>
      <c r="G41" s="90">
        <f t="shared" ref="G41:G65" si="3">F5+H5+I5*55</f>
        <v>61</v>
      </c>
    </row>
    <row r="42">
      <c r="D42" s="88" t="s">
        <v>98</v>
      </c>
      <c r="E42" s="89">
        <f t="shared" si="1"/>
        <v>570</v>
      </c>
      <c r="F42" s="89">
        <f t="shared" si="2"/>
        <v>670</v>
      </c>
      <c r="G42" s="89">
        <f t="shared" si="3"/>
        <v>770</v>
      </c>
    </row>
    <row r="43">
      <c r="D43" s="85" t="s">
        <v>99</v>
      </c>
      <c r="E43" s="90">
        <f t="shared" si="1"/>
        <v>133</v>
      </c>
      <c r="F43" s="90">
        <f t="shared" si="2"/>
        <v>157</v>
      </c>
      <c r="G43" s="90">
        <f t="shared" si="3"/>
        <v>181</v>
      </c>
    </row>
    <row r="44">
      <c r="D44" s="17" t="s">
        <v>100</v>
      </c>
      <c r="E44" s="89">
        <f t="shared" si="1"/>
        <v>133</v>
      </c>
      <c r="F44" s="89">
        <f t="shared" si="2"/>
        <v>157</v>
      </c>
      <c r="G44" s="89">
        <f t="shared" si="3"/>
        <v>181</v>
      </c>
    </row>
    <row r="45">
      <c r="D45" s="85" t="s">
        <v>101</v>
      </c>
      <c r="E45" s="90">
        <f t="shared" si="1"/>
        <v>174</v>
      </c>
      <c r="F45" s="90">
        <f t="shared" si="2"/>
        <v>206</v>
      </c>
      <c r="G45" s="90">
        <f t="shared" si="3"/>
        <v>238</v>
      </c>
    </row>
    <row r="46">
      <c r="D46" s="88" t="s">
        <v>102</v>
      </c>
      <c r="E46" s="89">
        <f t="shared" si="1"/>
        <v>44</v>
      </c>
      <c r="F46" s="89">
        <f t="shared" si="2"/>
        <v>52</v>
      </c>
      <c r="G46" s="89">
        <f t="shared" si="3"/>
        <v>60</v>
      </c>
    </row>
    <row r="47">
      <c r="D47" s="85" t="s">
        <v>103</v>
      </c>
      <c r="E47" s="90">
        <f t="shared" si="1"/>
        <v>133</v>
      </c>
      <c r="F47" s="90">
        <f t="shared" si="2"/>
        <v>157</v>
      </c>
      <c r="G47" s="90">
        <f t="shared" si="3"/>
        <v>181</v>
      </c>
    </row>
    <row r="48">
      <c r="D48" s="88" t="s">
        <v>104</v>
      </c>
      <c r="E48" s="89">
        <f t="shared" si="1"/>
        <v>1</v>
      </c>
      <c r="F48" s="89">
        <f t="shared" si="2"/>
        <v>1</v>
      </c>
      <c r="G48" s="89">
        <f t="shared" si="3"/>
        <v>1</v>
      </c>
    </row>
    <row r="49">
      <c r="D49" s="85" t="s">
        <v>105</v>
      </c>
      <c r="E49" s="90">
        <f t="shared" si="1"/>
        <v>496</v>
      </c>
      <c r="F49" s="90">
        <f t="shared" si="2"/>
        <v>592</v>
      </c>
      <c r="G49" s="90">
        <f t="shared" si="3"/>
        <v>688</v>
      </c>
    </row>
    <row r="50">
      <c r="D50" s="88" t="s">
        <v>106</v>
      </c>
      <c r="E50" s="89">
        <f t="shared" si="1"/>
        <v>236</v>
      </c>
      <c r="F50" s="89">
        <f t="shared" si="2"/>
        <v>276</v>
      </c>
      <c r="G50" s="89">
        <f t="shared" si="3"/>
        <v>316</v>
      </c>
    </row>
    <row r="51">
      <c r="D51" s="85" t="s">
        <v>107</v>
      </c>
      <c r="E51" s="90">
        <f t="shared" si="1"/>
        <v>16</v>
      </c>
      <c r="F51" s="90">
        <f t="shared" si="2"/>
        <v>16</v>
      </c>
      <c r="G51" s="90">
        <f t="shared" si="3"/>
        <v>16</v>
      </c>
    </row>
    <row r="52">
      <c r="D52" s="88" t="s">
        <v>108</v>
      </c>
      <c r="E52" s="89">
        <f t="shared" si="1"/>
        <v>280</v>
      </c>
      <c r="F52" s="89">
        <f t="shared" si="2"/>
        <v>336</v>
      </c>
      <c r="G52" s="89">
        <f t="shared" si="3"/>
        <v>392</v>
      </c>
    </row>
    <row r="53">
      <c r="D53" s="85" t="s">
        <v>109</v>
      </c>
      <c r="E53" s="90">
        <f t="shared" si="1"/>
        <v>107</v>
      </c>
      <c r="F53" s="90">
        <f t="shared" si="2"/>
        <v>123</v>
      </c>
      <c r="G53" s="90">
        <f t="shared" si="3"/>
        <v>139</v>
      </c>
    </row>
    <row r="54">
      <c r="D54" s="88" t="s">
        <v>110</v>
      </c>
      <c r="E54" s="89">
        <f t="shared" si="1"/>
        <v>62</v>
      </c>
      <c r="F54" s="89">
        <f t="shared" si="2"/>
        <v>72</v>
      </c>
      <c r="G54" s="89">
        <f t="shared" si="3"/>
        <v>82</v>
      </c>
    </row>
    <row r="55">
      <c r="D55" s="85" t="s">
        <v>111</v>
      </c>
      <c r="E55" s="90">
        <f t="shared" si="1"/>
        <v>3</v>
      </c>
      <c r="F55" s="90">
        <f t="shared" si="2"/>
        <v>3</v>
      </c>
      <c r="G55" s="90">
        <f t="shared" si="3"/>
        <v>3</v>
      </c>
    </row>
    <row r="56">
      <c r="D56" s="17" t="s">
        <v>112</v>
      </c>
      <c r="E56" s="89">
        <f t="shared" si="1"/>
        <v>43</v>
      </c>
      <c r="F56" s="89">
        <f t="shared" si="2"/>
        <v>51</v>
      </c>
      <c r="G56" s="89">
        <f t="shared" si="3"/>
        <v>59</v>
      </c>
    </row>
    <row r="57">
      <c r="D57" s="85" t="s">
        <v>113</v>
      </c>
      <c r="E57" s="90">
        <f t="shared" si="1"/>
        <v>6</v>
      </c>
      <c r="F57" s="90">
        <f t="shared" si="2"/>
        <v>6</v>
      </c>
      <c r="G57" s="90">
        <f t="shared" si="3"/>
        <v>6</v>
      </c>
    </row>
    <row r="58">
      <c r="D58" s="17" t="s">
        <v>114</v>
      </c>
      <c r="E58" s="89">
        <f t="shared" si="1"/>
        <v>3</v>
      </c>
      <c r="F58" s="89">
        <f t="shared" si="2"/>
        <v>3</v>
      </c>
      <c r="G58" s="89">
        <f t="shared" si="3"/>
        <v>3</v>
      </c>
    </row>
    <row r="59">
      <c r="D59" s="85" t="s">
        <v>115</v>
      </c>
      <c r="E59" s="90">
        <f t="shared" si="1"/>
        <v>3</v>
      </c>
      <c r="F59" s="90">
        <f t="shared" si="2"/>
        <v>3</v>
      </c>
      <c r="G59" s="90">
        <f t="shared" si="3"/>
        <v>3</v>
      </c>
    </row>
    <row r="60">
      <c r="D60" s="17" t="s">
        <v>116</v>
      </c>
      <c r="E60" s="89">
        <f t="shared" si="1"/>
        <v>43</v>
      </c>
      <c r="F60" s="89">
        <f t="shared" si="2"/>
        <v>51</v>
      </c>
      <c r="G60" s="89">
        <f t="shared" si="3"/>
        <v>59</v>
      </c>
    </row>
    <row r="61">
      <c r="D61" s="85" t="s">
        <v>117</v>
      </c>
      <c r="E61" s="90">
        <f t="shared" si="1"/>
        <v>3</v>
      </c>
      <c r="F61" s="90">
        <f t="shared" si="2"/>
        <v>3</v>
      </c>
      <c r="G61" s="90">
        <f t="shared" si="3"/>
        <v>3</v>
      </c>
    </row>
    <row r="62">
      <c r="D62" s="17" t="s">
        <v>118</v>
      </c>
      <c r="E62" s="89">
        <f t="shared" si="1"/>
        <v>2</v>
      </c>
      <c r="F62" s="89">
        <f t="shared" si="2"/>
        <v>2</v>
      </c>
      <c r="G62" s="89">
        <f t="shared" si="3"/>
        <v>2</v>
      </c>
    </row>
    <row r="63">
      <c r="D63" s="85" t="s">
        <v>119</v>
      </c>
      <c r="E63" s="90">
        <f t="shared" si="1"/>
        <v>4</v>
      </c>
      <c r="F63" s="90">
        <f t="shared" si="2"/>
        <v>4</v>
      </c>
      <c r="G63" s="90">
        <f t="shared" si="3"/>
        <v>4</v>
      </c>
    </row>
    <row r="64">
      <c r="D64" s="88" t="s">
        <v>120</v>
      </c>
      <c r="E64" s="89">
        <f t="shared" si="1"/>
        <v>4</v>
      </c>
      <c r="F64" s="89">
        <f t="shared" si="2"/>
        <v>4</v>
      </c>
      <c r="G64" s="89">
        <f t="shared" si="3"/>
        <v>4</v>
      </c>
    </row>
    <row r="65">
      <c r="D65" s="85" t="s">
        <v>121</v>
      </c>
      <c r="E65" s="90">
        <f t="shared" si="1"/>
        <v>132</v>
      </c>
      <c r="F65" s="90">
        <f t="shared" si="2"/>
        <v>156</v>
      </c>
      <c r="G65" s="90">
        <f t="shared" si="3"/>
        <v>180</v>
      </c>
    </row>
    <row r="66">
      <c r="E66" s="3"/>
    </row>
    <row r="67">
      <c r="D67" s="43" t="s">
        <v>122</v>
      </c>
      <c r="E67" s="20">
        <f t="shared" ref="E67:G67" si="4">SUM(E41:E65)</f>
        <v>2676</v>
      </c>
      <c r="F67" s="20">
        <f t="shared" si="4"/>
        <v>3154</v>
      </c>
      <c r="G67" s="20">
        <f t="shared" si="4"/>
        <v>3632</v>
      </c>
    </row>
    <row r="122">
      <c r="U122" s="21"/>
      <c r="V122" s="14"/>
      <c r="W122" s="22"/>
      <c r="X122" s="14"/>
    </row>
    <row r="123">
      <c r="S123" s="17"/>
      <c r="T123" s="15"/>
      <c r="U123" s="15"/>
      <c r="V123" s="15"/>
      <c r="W123" s="15"/>
      <c r="X123" s="15"/>
    </row>
  </sheetData>
  <mergeCells count="7">
    <mergeCell ref="D3:F3"/>
    <mergeCell ref="H3:I3"/>
    <mergeCell ref="W3:Y3"/>
    <mergeCell ref="AA3:AB3"/>
    <mergeCell ref="E39:G39"/>
    <mergeCell ref="U122:V122"/>
    <mergeCell ref="W122:X122"/>
  </mergeCells>
  <drawing r:id="rId1"/>
</worksheet>
</file>